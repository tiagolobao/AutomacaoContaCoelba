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EstaPasta_de_trabalho" defaultThemeVersion="124226"/>
  <bookViews>
    <workbookView xWindow="240" yWindow="165" windowWidth="14805" windowHeight="7950" activeTab="1"/>
  </bookViews>
  <sheets>
    <sheet name="INPUT" sheetId="1" r:id="rId1"/>
    <sheet name="OUTPUT" sheetId="2" r:id="rId2"/>
    <sheet name="CONTA CONTRATO e NOME" sheetId="4" r:id="rId3"/>
  </sheets>
  <functionGroups builtInGroupCount="17"/>
  <calcPr calcId="144525"/>
</workbook>
</file>

<file path=xl/calcChain.xml><?xml version="1.0" encoding="utf-8"?>
<calcChain xmlns="http://schemas.openxmlformats.org/spreadsheetml/2006/main">
  <c r="AU3" i="2" l="1"/>
  <c r="AT3" i="2"/>
  <c r="AF18" i="2"/>
  <c r="AF20" i="2"/>
  <c r="AF19" i="2"/>
  <c r="AF21" i="2"/>
  <c r="AF17" i="2"/>
  <c r="AF3" i="2" l="1"/>
  <c r="S3" i="2"/>
  <c r="T3" i="2"/>
  <c r="N3" i="2" l="1"/>
  <c r="P3" i="2"/>
  <c r="AD3" i="2"/>
  <c r="AB3" i="2"/>
  <c r="Z3" i="2"/>
  <c r="X3" i="2"/>
  <c r="K3" i="2"/>
  <c r="AH3" i="2" l="1"/>
  <c r="AG3" i="2"/>
  <c r="F3" i="2" l="1"/>
  <c r="I3" i="2" l="1"/>
  <c r="E3" i="2" l="1"/>
  <c r="D3" i="2"/>
  <c r="J3" i="2"/>
  <c r="W3" i="2"/>
  <c r="Y3" i="2"/>
  <c r="AA3" i="2"/>
  <c r="AC3" i="2"/>
  <c r="AE3" i="2"/>
  <c r="AN3" i="2"/>
  <c r="AM3" i="2"/>
  <c r="AL3" i="2"/>
  <c r="AK3" i="2"/>
  <c r="AJ3" i="2"/>
  <c r="AI3" i="2"/>
  <c r="G3" i="2"/>
  <c r="AO3" i="2" l="1"/>
  <c r="AQ3" i="2"/>
  <c r="AR3" i="2"/>
  <c r="AS3" i="2"/>
  <c r="AP3" i="2"/>
</calcChain>
</file>

<file path=xl/sharedStrings.xml><?xml version="1.0" encoding="utf-8"?>
<sst xmlns="http://schemas.openxmlformats.org/spreadsheetml/2006/main" count="417" uniqueCount="295">
  <si>
    <t>COLE AO LADO=&gt;</t>
  </si>
  <si>
    <t>Abra o pdf da 2ª Via da conta de luz, aperte Ctrl+A (Selecionar tudo). Copie e cole na célula verde.</t>
  </si>
  <si>
    <t xml:space="preserve">UFBA - PROJETO CAMPO ESCOLA (PCE) </t>
  </si>
  <si>
    <t>UFBA - MED. VET. O . CAMPINHOS MEV</t>
  </si>
  <si>
    <t>FAPEX-EM FRENTE A ARQUITETURA</t>
  </si>
  <si>
    <t>UFBA - CIENAM CEMPES MÓDULO I</t>
  </si>
  <si>
    <t>UFBA - PAVILHÃO DE AULAS DA FEDERAÇÃO V</t>
  </si>
  <si>
    <t>UFBA - CIENAM CEMPES</t>
  </si>
  <si>
    <t>UFBA - PRO REITORIA DE EXTENSÃO</t>
  </si>
  <si>
    <t>UFBA - RESIDÊNCIA UNIVERSITÁRIA - R4</t>
  </si>
  <si>
    <t>UFBA - CENTRO DE IDIOMAS</t>
  </si>
  <si>
    <t>UFBA - BIBLIOTECA UNIVERSITARIA DE SAÚDE</t>
  </si>
  <si>
    <t>UFBA - BARREIRAS_FZ CONQUISTA,500</t>
  </si>
  <si>
    <t>UFBA - SECRETARIA GERAL DOS CURSOS - SGC</t>
  </si>
  <si>
    <t>UFBA - VITORIA DA CONQUISTA</t>
  </si>
  <si>
    <t>UFBA - ICAD_BARREIRAS</t>
  </si>
  <si>
    <t>UFBA - ESCOLA DE DANÇA</t>
  </si>
  <si>
    <t>UFBA - INSTITUTO DE SAÚDE COLETIVA - ISC</t>
  </si>
  <si>
    <t>UFBA - ESCOLA DE MEDICINA VETERINARIA - SÃO GONCALO DOS CAMPOS</t>
  </si>
  <si>
    <t>UFBA - HOSPITAL DE MEDICINA VETERINÁRIA PROF. RENATO MEDEIROS NETO</t>
  </si>
  <si>
    <t>UFBA - SERVIÇO MÉDICO UNIVERSITÁRIO RUBENS BRASIL - SMURB</t>
  </si>
  <si>
    <t>UFBA - RESIDÊNCIA UNIVERSITÁRIA - R1</t>
  </si>
  <si>
    <t>UFBA - REITORIA</t>
  </si>
  <si>
    <t>UFBA - PAVILHÕES ADMINISTRATIVOS (PCU, ISP, DCA, SAD, DSA E SPE)</t>
  </si>
  <si>
    <t>UFBA - PAVILHÃO DE AULAS DO CANELA - PAC</t>
  </si>
  <si>
    <t>UFBA - MUSEU DE ARTE SACRA</t>
  </si>
  <si>
    <t>UFBA - MATERNIDADE CLIMÉRIO DE OLIVEIRA</t>
  </si>
  <si>
    <t>UFBA - INSTITUTO DE QUIMICA</t>
  </si>
  <si>
    <t>UFBA - INSTITUTO DE LETRAS</t>
  </si>
  <si>
    <t>UFBA - INSTITUTO DE GEOCIÊNCIAS</t>
  </si>
  <si>
    <t>UFBA - INSTITUTO DE FÍSICA/LABORATÓRIO DE FISICA NUCLEAR APLICADA - LFNA</t>
  </si>
  <si>
    <t>UFBA - INSTITUTO DE FISICA</t>
  </si>
  <si>
    <t>UFBA - INSTITUTO DE CIÊNCIAS DA SAÚDE</t>
  </si>
  <si>
    <t>UFBA - INSTITUTO DE BIOLOGIA</t>
  </si>
  <si>
    <t>UFBA - HUPES/CENTRO PEDIÁTRICO PROF. HOSANAH DE OLIVEIRA - CPPHO</t>
  </si>
  <si>
    <t>UFBA - HOSPITAL UNIVERSITÁRIO PROF. EDGARD SANTOS - HUPES</t>
  </si>
  <si>
    <t>UFBA - FACULDADE DE ODONTOLOGIA</t>
  </si>
  <si>
    <t>UFBA - FACULDADE DE MEDICINA DO TERREIRO</t>
  </si>
  <si>
    <t>UFBA - FACULDADE DE MEDICINA</t>
  </si>
  <si>
    <t>UFBA - FACULDADE DE FILOSOFIA E CIÊNCIAS HUMANAS</t>
  </si>
  <si>
    <t>UFBA - FACULDADE DE EDUCAÇÃO</t>
  </si>
  <si>
    <t>UFBA - FACULDADE DE DIREITO</t>
  </si>
  <si>
    <t>UFBA - FACULDADE DE COMUNICAÇÃO</t>
  </si>
  <si>
    <t>UFBA - FACULDADE DE CIÊNCIAS ECONÔMICAS E FACULDADE DE CIÊNCIAS CONTÁBEIS</t>
  </si>
  <si>
    <t>CNPJ</t>
  </si>
  <si>
    <t>CONTA CONTRATO</t>
  </si>
  <si>
    <t>UNIDADE</t>
  </si>
  <si>
    <t>Site 2ª Via</t>
  </si>
  <si>
    <t>http://servicos.coelba.com.br/Pages/Default.aspx</t>
  </si>
  <si>
    <t>OBS: Abrir em página anônima</t>
  </si>
  <si>
    <t>Demanda Ativa(kW) 186,0000000 20,66615226 3.843,90</t>
  </si>
  <si>
    <t>Demanda Reativa Excedente.(kVAR) 0,0000000 20,66615226 0,00</t>
  </si>
  <si>
    <t>BANDEIRA VERMELHA</t>
  </si>
  <si>
    <t>Consumo Ativo Na Ponta(kWh 2.518,3000000 1,82872942 4.605,28</t>
  </si>
  <si>
    <t>Consumo Ativo Fora Ponta(kWh) 25.940,0000000 0,32101337 8.327,08</t>
  </si>
  <si>
    <t>Consumo Reativo Exc. Na Ponta(kVARh) 88,8000000 0,23212448 20,61</t>
  </si>
  <si>
    <t>Consumo Reativo Exc. Fora Ponta(kVARh) 1.090,0000000 0,23212448 253,01</t>
  </si>
  <si>
    <t>Contribuição Iluminação Pública 160,78</t>
  </si>
  <si>
    <t>Juros COSIP-Decreto 24056/2013 4,28</t>
  </si>
  <si>
    <t>Multa COSIP-Decreto 24056/2013 32,15</t>
  </si>
  <si>
    <t>IPCA COSIP-Decreto 24056/2013 3,82</t>
  </si>
  <si>
    <t>Multa por atraso-NF 103084464 - 27/08/15 295,65</t>
  </si>
  <si>
    <t>Juros por atraso-NF 103084464 - 27/08/15 389,28</t>
  </si>
  <si>
    <t>Tributo Federal 1.037,42-</t>
  </si>
  <si>
    <t>NOTA FISCAL | FATURA | CONTA DE ENERGIA ELÉTRICA 2ª VIA</t>
  </si>
  <si>
    <t>COMPANHIA DE ELETRICIDADE</t>
  </si>
  <si>
    <t>DO ESTADO DA BAHIA</t>
  </si>
  <si>
    <t>AV.EDGARD SANTOS, 300,</t>
  </si>
  <si>
    <t>CABULA VI, SALVADOR, BAHIA</t>
  </si>
  <si>
    <t>CEP 41181-900</t>
  </si>
  <si>
    <t>CNPJ 15.139.629/0001-94</t>
  </si>
  <si>
    <t>INSCRIÇÃO ESTADUAL 00478696NO</t>
  </si>
  <si>
    <t>COELBA 0800 071 0800</t>
  </si>
  <si>
    <t>ATENDIMENTO AO DEFICIENTE AUDITIVO OU</t>
  </si>
  <si>
    <t>DE FALA: 0800 281 0142</t>
  </si>
  <si>
    <t>OUVIDORIA: 0800 071 7676 / SMS FALTA DE ENERGIA: 27308</t>
  </si>
  <si>
    <t>AGÊNCIA NACIONAL DE ENERGIA ELÉTRICA - ANEEL</t>
  </si>
  <si>
    <t>167-LIGAÇÃO GRATUITA DE TELEFONES FIXOS E MÓVEIS</t>
  </si>
  <si>
    <t>DADOS DO CLIENTE</t>
  </si>
  <si>
    <t>UNIVERSIDADE FEDERAL DA BAHIA</t>
  </si>
  <si>
    <t>4972872 - ESCOLA DE ADMINISTRACAO</t>
  </si>
  <si>
    <t>CNPJ: 15.180.714/0002-87</t>
  </si>
  <si>
    <t>ENDEREÇO</t>
  </si>
  <si>
    <t>AV REITOR MIGUEL CALMON 1431</t>
  </si>
  <si>
    <t>FEDERACAO/SALVADOR</t>
  </si>
  <si>
    <t>40110-250 SALVADOR BA</t>
  </si>
  <si>
    <t>DATA DE VENCIMENTO</t>
  </si>
  <si>
    <t>TOTAL A PAGAR (R$)</t>
  </si>
  <si>
    <t>DATA DA EMISSÃO DA NOTA FISCAL</t>
  </si>
  <si>
    <t>DATA DA APRESENTAÇÃO</t>
  </si>
  <si>
    <t>NÚMERO DA NOTA FISCAL</t>
  </si>
  <si>
    <t>Nº DO CLIENTE</t>
  </si>
  <si>
    <t>Nº DA INSTALAÇÃO</t>
  </si>
  <si>
    <t>RESERVADO AO FISCO</t>
  </si>
  <si>
    <t>31B9.D7A6.4A60.F976.A8CA.D490.BC6F.BDA7</t>
  </si>
  <si>
    <t>CLASSIFICAÇÃO</t>
  </si>
  <si>
    <t>A4 Horo-sazonal Verde</t>
  </si>
  <si>
    <t>PODER PUBLICO - FEDERAL</t>
  </si>
  <si>
    <t>DESCRIÇÃO DA NOTA FISCAL E INFORMAÇÕES IMPORTANTES</t>
  </si>
  <si>
    <t>DESCRIÇÃO QUANTIDADE PREÇO(R$) VALOR(R$)</t>
  </si>
  <si>
    <t>TOTAL DA FATURA 16.898,42</t>
  </si>
  <si>
    <t>GRÁFICOS</t>
  </si>
  <si>
    <t>Consumo Ativo na Ponta em kWh</t>
  </si>
  <si>
    <t>DEZ JAN FEV MAR ABR MAI JUN JUL AGO SET OUT NOV DEZ</t>
  </si>
  <si>
    <t>14 15 15 15 15 15 15 15 15 15 15 15 15</t>
  </si>
  <si>
    <t>Consumo Ativo Fora da Ponta em kWh</t>
  </si>
  <si>
    <t>Demanda (Medida x Contratada) em kW</t>
  </si>
  <si>
    <t>Medida Contratada</t>
  </si>
  <si>
    <t>INFORMAÇÕES DE TRIBUTOS</t>
  </si>
  <si>
    <t>ICMS PIS COFINS</t>
  </si>
  <si>
    <t>BASE DE VALOR DO BASE DE CÁLCULO VALOR DO VALOR DO</t>
  </si>
  <si>
    <t>CÁLCULO % IMPOSTO PIS/COFINS % IMPOSTO % IMPOSTO</t>
  </si>
  <si>
    <t>11.593,91 27,00 3.130,35 17.049,88 0,69 117,64 3,19 543,89</t>
  </si>
  <si>
    <t>AIDF Nº 17590000452009 - PAIDF Nº 935.141</t>
  </si>
  <si>
    <t>PARECER/GECOT - 367/98, 929/00 e 9876/04</t>
  </si>
  <si>
    <t>www.coelba.com.br</t>
  </si>
  <si>
    <t>TARIFAS APLICADAS</t>
  </si>
  <si>
    <t>Demanda Ativa(kW) 16,07000000</t>
  </si>
  <si>
    <t>Demanda Reativa Excedente.(kVAR) 16,07000000</t>
  </si>
  <si>
    <t>Consumo Ativo Na Ponta(kWh-VERMELHA 1,42202000</t>
  </si>
  <si>
    <t>Consumo Ativo Fora Ponta(kWh)-VERMELHA 0,24962000</t>
  </si>
  <si>
    <t>Consumo Reativo Exc. Na Ponta(kVARh) 0,18050000</t>
  </si>
  <si>
    <t>Consumo Reativo Exc. Fora Ponta(kVARh) 0,18050000</t>
  </si>
  <si>
    <t>N° medidor - 31268761 / Ciclo - 23/11/2015 a 23/12/2015 / Dias - 30</t>
  </si>
  <si>
    <t>Data 231115 231215</t>
  </si>
  <si>
    <t>Hora 060000 060000</t>
  </si>
  <si>
    <t>Consumo Ativo Na Ponta 566.811,00 591.994,00 0,10000 2.518,3000000</t>
  </si>
  <si>
    <t>Consumo Ativo Fora de Ponta 122.114,00 124.708,00 10,00000 25.940,0000000</t>
  </si>
  <si>
    <t>Demanda Máxima Na Ponta 0,00 209,00 0,40000 83,6000000</t>
  </si>
  <si>
    <t>Demanda Máxima Fora de Ponta 0,00 306,00 0,40000 122,4000000</t>
  </si>
  <si>
    <t>Consumo Reativo Na Ponta 549.232,00 560.951,00 0,10000 1.171,9000000</t>
  </si>
  <si>
    <t>Consumo Reativo Fora de Ponta 52.858,00 54.093,00 10,00000 12.350,0000000</t>
  </si>
  <si>
    <t>Consumo Reativo Excedente Na Ponta 17.498,00 18.386,00 0,10000 88,8000000</t>
  </si>
  <si>
    <t>Consumo Reativo Excedente Fora de Ponta 3.967,00 4.076,00 10,00000 1.090,0000000</t>
  </si>
  <si>
    <t>Demanda Máxima Corrigida Na Ponta 0,00 710,00 0,10000 71,0000000</t>
  </si>
  <si>
    <t>Demanda Máxima Corrigida Fora de Ponta 0,00 1.138,00 0,10000 113,8000000</t>
  </si>
  <si>
    <t>DEMONSTRATIVO DE CONSUMO DESTA NOTA FISCAL</t>
  </si>
  <si>
    <t>LEITURA</t>
  </si>
  <si>
    <t>DESCRIÇÃO DA FUNÇÃO CONSUMO /</t>
  </si>
  <si>
    <t>DE ATÉ CONSTANTE AJUSTE DEMANDA</t>
  </si>
  <si>
    <t>DADOS COMPLEMENTARES</t>
  </si>
  <si>
    <t>Fator de Carga</t>
  </si>
  <si>
    <t>Na Ponta: 0,46 Fora de Ponta: 0,32</t>
  </si>
  <si>
    <t>DATA PREVISTA PARA A PRÓXIMA LEITURA 25/01/2016</t>
  </si>
  <si>
    <t>VALORES CONTRATADOS</t>
  </si>
  <si>
    <t>Demanda: 186.00</t>
  </si>
  <si>
    <t>As condições gerais de fornecimento (Resolução ANEEL 414/2010), tarifas, produtos, serviços prestados e tributos se encontram à disposição, para consulta em nossas unidades de atendimento e no</t>
  </si>
  <si>
    <t>INFORMAÇÕES SOBRE A NOTA FISCAL</t>
  </si>
  <si>
    <t>Na data da leitura a bandeira em vigor é a Vermelha. Mais informações em www.aneel.gov.br.</t>
  </si>
  <si>
    <t>Redução da Base de Cálculo do ICMS em 32% conforme Art. 80,II, a do RICMS-Ba.</t>
  </si>
  <si>
    <t>O cliente é compensado quando há violação na continuidade individual ou do nível de tensão de fornecimento.</t>
  </si>
  <si>
    <t>O Cliente é compensado quando há descumprimento do prazo definido para os padrões de atendimento comercial.</t>
  </si>
  <si>
    <t>Acréscimos legais serão aplicados sobre a COSIP paga em atraso (decreto municipal Nº 24.056/2013 - SEFAZ).</t>
  </si>
  <si>
    <t>Esta Nota Fiscal faz parte do Doc. Pgto. nº 610047044002 da Conta Contrato Coletiva nº 6132000016.</t>
  </si>
  <si>
    <t>DURAÇÃO E FREQUÊNCIA DAS INTERRUPÇÕES</t>
  </si>
  <si>
    <t>VALOR LIMITE LIMITE LIMITE</t>
  </si>
  <si>
    <t>DESCRIÇÃO CONJUNTO APURADO MENSAL TRIMESTRAL ANUAL</t>
  </si>
  <si>
    <t>DIC - Nº. de horas sem Energia 0,0000 3,46 6,93 13,86</t>
  </si>
  <si>
    <t>FIC - Nº. de vezes sem Energia 0,0000 2,17 4,35 8,71</t>
  </si>
  <si>
    <t>DMIC - Duração máxima de interrupção contínua 0,0000 2,52 0,00 0,00</t>
  </si>
  <si>
    <t>DICRI - Duração de Interrupção em dia crítico</t>
  </si>
  <si>
    <t>EUSD - Valor do Encargo de Uso do Sistema de Distribuição = R$ 6.612,77</t>
  </si>
  <si>
    <t>GRACA</t>
  </si>
  <si>
    <t>Limite DICRI: 9,77</t>
  </si>
  <si>
    <t>NÍVEIS DE TENSÃO</t>
  </si>
  <si>
    <t>LIMITE DE</t>
  </si>
  <si>
    <t>TENSÃO VARIAÇÃO(V)</t>
  </si>
  <si>
    <t>NOMINAL (V)</t>
  </si>
  <si>
    <t>MÍNIMO MÁXIMO</t>
  </si>
  <si>
    <t>11500 10695 12075</t>
  </si>
  <si>
    <t>Comprovante do Cliente Autenticação Mecânica</t>
  </si>
  <si>
    <t>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</t>
  </si>
  <si>
    <t>Destaque aqui AIDF Nº 17590000262009 - PAIDF Nº 932.979</t>
  </si>
  <si>
    <t>Vencimento Agência/Cód. Cedente Espécie Quantidade Valor do Documento (-)Desconto/Abatimento</t>
  </si>
  <si>
    <t>BANCO DO BRASIL S/A 001 20/01/2016 3064-3/150321-9 16.898,42</t>
  </si>
  <si>
    <t>(-)Outras Deduções (+)Mora/Multa p/ dia de atraso (+)Outros Acréscimos</t>
  </si>
  <si>
    <t>Nosso Número N° do Documento (=)Valor Cobrado</t>
  </si>
  <si>
    <t>98954100001133019 90194278 16.898,42</t>
  </si>
  <si>
    <t>Destaque aqui</t>
  </si>
  <si>
    <t>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</t>
  </si>
  <si>
    <t>Ficha do Caixa Autenticação Mecânica</t>
  </si>
  <si>
    <t>BANCO DO BRASIL S/A |001-9| 00199.89540 19895.410009 01133.019214 9 00000001689842</t>
  </si>
  <si>
    <t>Local do Pagamento Vencimento</t>
  </si>
  <si>
    <t>Pagável em qualquer Banco até o vencimento 20/01/2016</t>
  </si>
  <si>
    <t>Cedente Agência/Cód. Cedente</t>
  </si>
  <si>
    <t>COMPANHIA DE ELETRICIDADE DO ESTADO DA BAHIA 3064-3/150321-9</t>
  </si>
  <si>
    <t>Data Documento N° do Documento Espécie Aceite Data do Processamento Nosso Número</t>
  </si>
  <si>
    <t>29/12/2015 90194278 N 29/12/2015 98954100001133019</t>
  </si>
  <si>
    <t>Uso Banco Carteira Moeda Quantidade Valor (=)Valor do Documento</t>
  </si>
  <si>
    <t>18/019 R$ x 16.898,42</t>
  </si>
  <si>
    <t>(-)Desconto/Abatimento</t>
  </si>
  <si>
    <t>(-)Outras Deduções</t>
  </si>
  <si>
    <t>(+)Mora/Multa p/ dia de atraso</t>
  </si>
  <si>
    <t>(+)Outros Acréscimos</t>
  </si>
  <si>
    <t>(=)Valor Cobrado</t>
  </si>
  <si>
    <t>Instruções</t>
  </si>
  <si>
    <t>1-Multas por atraso no pagamento: 2% - Resolução 414/ANEEL de de 09/09/10 a ser cobrada na próxima fatura</t>
  </si>
  <si>
    <t>2-Juros por atraso no pagamento: 1% a.m. - Lei 10.438 de 26/04/02 a serem cobrados na próxima fatura</t>
  </si>
  <si>
    <t>3-Até a data de vencimento, pagável em qualquer Agência Bancária</t>
  </si>
  <si>
    <t>4-Após o vencimento, pagável apenas nas Agências do BANCO DO BRASIL S/A</t>
  </si>
  <si>
    <t>AIDF Nº 17590000262009 - PAIDF Nº 932.979</t>
  </si>
  <si>
    <t>Sacado</t>
  </si>
  <si>
    <t>UNIVERSIDADE FEDERAL DA BAHIA 4972872</t>
  </si>
  <si>
    <t>15.180.714/0002-87</t>
  </si>
  <si>
    <t>Sacador/Avalista</t>
  </si>
  <si>
    <t>Ficha de Compensação Autenticação Mecânica</t>
  </si>
  <si>
    <t>Todo consumidor pode solicitar a apuração dos indicadores DIC, FIC, DMIC e DICRI a qualquer tempo.</t>
  </si>
  <si>
    <t>Mês</t>
  </si>
  <si>
    <t>TIPO DE TARIFA</t>
  </si>
  <si>
    <t>DEM CONT NP</t>
  </si>
  <si>
    <t>DEM CONT FP</t>
  </si>
  <si>
    <t>VALOR DA FATURA(R$)</t>
  </si>
  <si>
    <t>DEM. ATIVA NP(kW)</t>
  </si>
  <si>
    <t>DEM. CONT NP(R$)</t>
  </si>
  <si>
    <t>DEM. ATIVA FP(kW)</t>
  </si>
  <si>
    <t>DEM. CONT FP(R$)</t>
  </si>
  <si>
    <t>DEM. DE ULT NP(kW)</t>
  </si>
  <si>
    <t>CONTAGEM ULT. ANUAL</t>
  </si>
  <si>
    <t>DEM. DE ULT NP(R$)</t>
  </si>
  <si>
    <t>DEM. DE ULT FP(kW)</t>
  </si>
  <si>
    <t>DEM. DE ULT FP(R$)</t>
  </si>
  <si>
    <t>DEM. REAT EXCE NP(kW)</t>
  </si>
  <si>
    <t>DEM. REAT EXCE NP(R$)</t>
  </si>
  <si>
    <t>DEM. REAT EXCE FP(kW)</t>
  </si>
  <si>
    <t>DEM. REAT EXCE FP(R$)</t>
  </si>
  <si>
    <t>CANP(kW)</t>
  </si>
  <si>
    <t>CANP(R$)</t>
  </si>
  <si>
    <t>CAFP(kW)</t>
  </si>
  <si>
    <t>CAFP(R$)</t>
  </si>
  <si>
    <t>CRENP(Kw)</t>
  </si>
  <si>
    <t>CRENP(R$)</t>
  </si>
  <si>
    <t>CREFP(Kw)</t>
  </si>
  <si>
    <t>CREFP(R$)</t>
  </si>
  <si>
    <t>CONT ILUM. PUB (R$)</t>
  </si>
  <si>
    <t>MULTA + JUROS POR ATRAZO(R$)</t>
  </si>
  <si>
    <t>TRIB. FEDERAL(R$)</t>
  </si>
  <si>
    <t>INTERRUP. DE ENERG (R$)</t>
  </si>
  <si>
    <t>DEM. MAX  NP(kW)</t>
  </si>
  <si>
    <t>DEM MÁX FP(kW)</t>
  </si>
  <si>
    <t>CRNP(kW)</t>
  </si>
  <si>
    <t>CRFP(kW)</t>
  </si>
  <si>
    <t>INICIO DO CICLO</t>
  </si>
  <si>
    <t>FINAL DO CICLO</t>
  </si>
  <si>
    <t>FCNP</t>
  </si>
  <si>
    <t>FCFP</t>
  </si>
  <si>
    <t>Nº DE DIAS</t>
  </si>
  <si>
    <t>Horas Na Ponta</t>
  </si>
  <si>
    <t>Nº MEDIDOR</t>
  </si>
  <si>
    <t>POT INST.</t>
  </si>
  <si>
    <t>POT. TOTAL</t>
  </si>
  <si>
    <t>Códigos VBA</t>
  </si>
  <si>
    <t>Inverer celula</t>
  </si>
  <si>
    <t>Arrumar texto de data (de 110116 para 11/01/2016)</t>
  </si>
  <si>
    <t xml:space="preserve">Function INVERTER(inverte As Variant) As String
Dim txt As String
For i = 0 To Len(inverte) - 1
txt = txt &amp; Mid(CStr(inverte), Len(CStr(inverte)) - i, 1)
Next
inverter = txt
End Function
 </t>
  </si>
  <si>
    <t>Function DATAR(entrada As Variant) As String
Dim txt As String
txt = txt &amp; Mid(CStr(entrada), 1, 1)
txt = txt &amp; Mid(CStr(entrada), 2, 1)
txt = txt &amp; "/"
txt = txt &amp; Mid(CStr(entrada), 3, 1)
txt = txt &amp; Mid(CStr(entrada), 4, 1)
txt = txt &amp; "/"
txt = txt &amp; "2"
txt = txt &amp; "0"
txt = txt &amp; Mid(CStr(entrada), 5, 1)
txt = txt &amp; Mid(CStr(entrada), 6, 1)
datar = txt
End Function</t>
  </si>
  <si>
    <t>Ctrl+Shift+A</t>
  </si>
  <si>
    <t>Ctrl+Shift+C</t>
  </si>
  <si>
    <t>HUPES/AMBULATÓRIO PROF. FRANCISCO MAGALHÃES NETO</t>
  </si>
  <si>
    <t>BIBLIOTECA CENTRAL REITOR MACEDO COSTA</t>
  </si>
  <si>
    <t>CONJ. INSTITUTO DE MATEMÁTICA, PAF I, CPD (PAF II E FACULDADE DE FARMÁCIA)</t>
  </si>
  <si>
    <t xml:space="preserve"> ESCOLA DE ADMINISTRAÇÃO</t>
  </si>
  <si>
    <t>ESCOLA DE BELAS ARTES</t>
  </si>
  <si>
    <t>ESCOLA DE ENFERMAGEM</t>
  </si>
  <si>
    <t>ESCOLA DE MÚSICA</t>
  </si>
  <si>
    <t>ESCOLA DE TEATRO</t>
  </si>
  <si>
    <t xml:space="preserve"> ESCOLA POLITÉCNICA</t>
  </si>
  <si>
    <t xml:space="preserve"> FACULDADE DE ARQUITETURA E URBANISMO</t>
  </si>
  <si>
    <t>FACULDADE DE ARQUITETURA E URBANISMO - CEAB</t>
  </si>
  <si>
    <t>1x750+1x300</t>
  </si>
  <si>
    <t>4x300+1x150</t>
  </si>
  <si>
    <t>2x150</t>
  </si>
  <si>
    <t>1X112,5</t>
  </si>
  <si>
    <t>1x225</t>
  </si>
  <si>
    <t>1X225</t>
  </si>
  <si>
    <t>2X300+1X112,5</t>
  </si>
  <si>
    <t>1X150</t>
  </si>
  <si>
    <t>1X75</t>
  </si>
  <si>
    <t>1x300</t>
  </si>
  <si>
    <t>1x150</t>
  </si>
  <si>
    <t>1X300</t>
  </si>
  <si>
    <t>1x150+1x300</t>
  </si>
  <si>
    <t>4x225+3x150+2x300+1x500</t>
  </si>
  <si>
    <t>1X500</t>
  </si>
  <si>
    <t>2X225</t>
  </si>
  <si>
    <t>1x225+1x300</t>
  </si>
  <si>
    <t>2X150</t>
  </si>
  <si>
    <t>1X150+1X225+1X300</t>
  </si>
  <si>
    <t>2X300</t>
  </si>
  <si>
    <t>2x300</t>
  </si>
  <si>
    <t>1x112,5</t>
  </si>
  <si>
    <t>2x112,5+1x150</t>
  </si>
  <si>
    <t>1X225+1X112,5</t>
  </si>
  <si>
    <t>1x75+2x300</t>
  </si>
  <si>
    <t>1x112,5+1x225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</si>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</sst>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4" fontId="5" fillId="0" borderId="0" applyFont="0" applyFill="0" applyBorder="0" applyAlignment="0" applyProtection="0"/>
  </cellStyleXfs>
  <cellXfs count="54">
    <xf numFmtId="0" fontId="0" fillId="0" borderId="0" xfId="0"/>
    <xf numFmtId="0" fontId="0" fillId="0" borderId="0" xfId="0" applyFill="1" applyAlignment="1"/>
    <xf numFmtId="0" fontId="0" fillId="2" borderId="1" xfId="0" applyFill="1" applyBorder="1"/>
    <xf numFmtId="3" fontId="1" fillId="0" borderId="1" xfId="0" applyNumberFormat="1" applyFont="1" applyFill="1" applyBorder="1" applyAlignment="1">
      <alignment horizontal="center" vertical="center"/>
    </xf>
    <xf numFmtId="3" fontId="1" fillId="5" borderId="1" xfId="0" applyNumberFormat="1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left" vertical="center"/>
    </xf>
    <xf numFmtId="3" fontId="0" fillId="5" borderId="1" xfId="0" applyNumberFormat="1" applyFont="1" applyFill="1" applyBorder="1" applyAlignment="1">
      <alignment horizontal="center" vertical="center"/>
    </xf>
    <xf numFmtId="3" fontId="0" fillId="0" borderId="1" xfId="0" applyNumberFormat="1" applyFont="1" applyFill="1" applyBorder="1" applyAlignment="1">
      <alignment horizontal="center" vertical="center"/>
    </xf>
    <xf numFmtId="3" fontId="1" fillId="0" borderId="1" xfId="0" quotePrefix="1" applyNumberFormat="1" applyFont="1" applyFill="1" applyBorder="1" applyAlignment="1">
      <alignment horizontal="center" vertical="center"/>
    </xf>
    <xf numFmtId="0" fontId="0" fillId="2" borderId="0" xfId="0" applyFont="1" applyFill="1" applyAlignment="1">
      <alignment horizontal="center"/>
    </xf>
    <xf numFmtId="0" fontId="2" fillId="0" borderId="0" xfId="1"/>
    <xf numFmtId="0" fontId="0" fillId="6" borderId="1" xfId="0" applyFont="1" applyFill="1" applyBorder="1" applyAlignment="1">
      <alignment horizontal="left" vertical="center"/>
    </xf>
    <xf numFmtId="3" fontId="1" fillId="6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4" fontId="0" fillId="0" borderId="0" xfId="0" applyNumberFormat="1" applyAlignment="1">
      <alignment horizontal="left"/>
    </xf>
    <xf numFmtId="16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17" fontId="3" fillId="0" borderId="2" xfId="0" applyNumberFormat="1" applyFont="1" applyBorder="1" applyAlignment="1">
      <alignment horizontal="center" vertical="center"/>
    </xf>
    <xf numFmtId="0" fontId="0" fillId="2" borderId="3" xfId="0" applyFill="1" applyBorder="1" applyAlignment="1"/>
    <xf numFmtId="0" fontId="0" fillId="2" borderId="4" xfId="0" applyFill="1" applyBorder="1" applyAlignment="1"/>
    <xf numFmtId="0" fontId="0" fillId="2" borderId="5" xfId="0" applyFill="1" applyBorder="1" applyAlignment="1"/>
    <xf numFmtId="0" fontId="0" fillId="2" borderId="6" xfId="0" applyFill="1" applyBorder="1" applyAlignment="1"/>
    <xf numFmtId="17" fontId="3" fillId="0" borderId="1" xfId="0" applyNumberFormat="1" applyFont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/>
    </xf>
    <xf numFmtId="3" fontId="1" fillId="0" borderId="0" xfId="0" applyNumberFormat="1" applyFont="1" applyFill="1" applyBorder="1" applyAlignment="1">
      <alignment horizontal="center" vertical="center"/>
    </xf>
    <xf numFmtId="1" fontId="0" fillId="0" borderId="0" xfId="0" applyNumberFormat="1" applyFont="1" applyFill="1" applyBorder="1" applyAlignment="1">
      <alignment horizontal="center" vertical="center"/>
    </xf>
    <xf numFmtId="44" fontId="6" fillId="0" borderId="0" xfId="2" applyFont="1" applyFill="1" applyBorder="1" applyAlignment="1">
      <alignment horizontal="center" vertical="center" wrapText="1"/>
    </xf>
    <xf numFmtId="4" fontId="0" fillId="0" borderId="0" xfId="0" applyNumberFormat="1" applyFill="1" applyBorder="1" applyAlignment="1">
      <alignment horizontal="center" vertical="center"/>
    </xf>
    <xf numFmtId="14" fontId="0" fillId="0" borderId="0" xfId="0" applyNumberFormat="1" applyFont="1" applyFill="1" applyBorder="1"/>
    <xf numFmtId="0" fontId="0" fillId="0" borderId="0" xfId="0" applyFill="1" applyBorder="1"/>
    <xf numFmtId="14" fontId="0" fillId="0" borderId="0" xfId="0" applyNumberFormat="1" applyFill="1" applyBorder="1"/>
    <xf numFmtId="44" fontId="4" fillId="0" borderId="0" xfId="2" applyFont="1" applyFill="1" applyBorder="1" applyAlignment="1" applyProtection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2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left"/>
    </xf>
    <xf numFmtId="17" fontId="3" fillId="0" borderId="0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 applyProtection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44" fontId="6" fillId="0" borderId="0" xfId="2" applyFont="1" applyFill="1" applyBorder="1" applyAlignment="1" applyProtection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</cellXfs>
  <cellStyles count="3">
    <cellStyle name="Hiperlink" xfId="1" builtinId="8"/>
    <cellStyle name="Moeda" xfId="2" builtinId="4"/>
    <cellStyle name="Normal" xfId="0" builtinId="0"/>
  </cellStyles>
  <dxfs count="6">
    <dxf>
      <font>
        <b/>
        <i val="0"/>
        <color rgb="FFFF0000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0</xdr:rowOff>
        </xdr:from>
        <xdr:to>
          <xdr:col>1</xdr:col>
          <xdr:colOff>1238250</xdr:colOff>
          <xdr:row>3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click-me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</xdr:row>
          <xdr:rowOff>28575</xdr:rowOff>
        </xdr:from>
        <xdr:to>
          <xdr:col>1</xdr:col>
          <xdr:colOff>1238250</xdr:colOff>
          <xdr:row>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ervicos.coelba.com.br/Pages/Default.aspx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J273"/>
  <sheetViews>
    <sheetView topLeftCell="A37" workbookViewId="0">
      <selection activeCell="B50" sqref="B50"/>
    </sheetView>
  </sheetViews>
  <sheetFormatPr defaultRowHeight="15" x14ac:dyDescent="0.25"/>
  <cols>
    <col min="1" max="1" width="45.85546875" customWidth="1"/>
    <col min="2" max="2" width="111.5703125" customWidth="1"/>
  </cols>
  <sheetData>
    <row r="1" spans="1:10" x14ac:dyDescent="0.25">
      <c r="A1" s="21" t="s">
        <v>1</v>
      </c>
      <c r="B1" s="22"/>
      <c r="C1" s="50"/>
      <c r="D1" s="50" t="s">
        <v>250</v>
      </c>
      <c r="E1" s="50"/>
      <c r="F1" s="50"/>
      <c r="G1" s="50"/>
      <c r="H1" s="50"/>
      <c r="I1" s="50"/>
      <c r="J1" s="1"/>
    </row>
    <row r="2" spans="1:10" x14ac:dyDescent="0.25">
      <c r="A2" s="23"/>
      <c r="B2" s="24"/>
      <c r="C2" s="50"/>
      <c r="D2" s="50"/>
      <c r="E2" s="50"/>
      <c r="F2" s="50"/>
      <c r="G2" s="50"/>
      <c r="H2" s="50"/>
      <c r="I2" s="50"/>
      <c r="J2" s="1"/>
    </row>
    <row r="3" spans="1:10" ht="15" customHeight="1" x14ac:dyDescent="0.25">
      <c r="A3" s="2" t="s">
        <v>0</v>
      </c>
      <c r="B3" s="14" t="s">
        <v>50</v>
      </c>
      <c r="C3" s="50"/>
      <c r="D3" s="53" t="s">
        <v>251</v>
      </c>
      <c r="E3" s="53"/>
      <c r="F3" s="53"/>
      <c r="G3" s="53"/>
      <c r="H3" s="53"/>
      <c r="I3" s="53"/>
    </row>
    <row r="4" spans="1:10" x14ac:dyDescent="0.25">
      <c r="B4" s="15" t="s">
        <v>51</v>
      </c>
      <c r="C4" s="50"/>
      <c r="D4" s="51" t="s">
        <v>253</v>
      </c>
      <c r="E4" s="52"/>
      <c r="F4" s="52"/>
      <c r="G4" s="52"/>
      <c r="H4" s="52"/>
      <c r="I4" s="52"/>
    </row>
    <row r="5" spans="1:10" x14ac:dyDescent="0.25">
      <c r="A5" t="s">
        <v>47</v>
      </c>
      <c r="B5" s="15" t="s">
        <v>52</v>
      </c>
      <c r="C5" s="50"/>
      <c r="D5" s="52"/>
      <c r="E5" s="52"/>
      <c r="F5" s="52"/>
      <c r="G5" s="52"/>
      <c r="H5" s="52"/>
      <c r="I5" s="52"/>
    </row>
    <row r="6" spans="1:10" x14ac:dyDescent="0.25">
      <c r="A6" s="11" t="s">
        <v>48</v>
      </c>
      <c r="B6" s="15" t="s">
        <v>53</v>
      </c>
      <c r="C6" s="50"/>
      <c r="D6" s="52"/>
      <c r="E6" s="52"/>
      <c r="F6" s="52"/>
      <c r="G6" s="52"/>
      <c r="H6" s="52"/>
      <c r="I6" s="52"/>
    </row>
    <row r="7" spans="1:10" x14ac:dyDescent="0.25">
      <c r="A7" t="s">
        <v>49</v>
      </c>
      <c r="B7" s="15" t="s">
        <v>54</v>
      </c>
      <c r="C7" s="50"/>
      <c r="D7" s="52"/>
      <c r="E7" s="52"/>
      <c r="F7" s="52"/>
      <c r="G7" s="52"/>
      <c r="H7" s="52"/>
      <c r="I7" s="52"/>
    </row>
    <row r="8" spans="1:10" x14ac:dyDescent="0.25">
      <c r="B8" s="15" t="s">
        <v>55</v>
      </c>
      <c r="C8" s="50"/>
      <c r="D8" s="52"/>
      <c r="E8" s="52"/>
      <c r="F8" s="52"/>
      <c r="G8" s="52"/>
      <c r="H8" s="52"/>
      <c r="I8" s="52"/>
    </row>
    <row r="9" spans="1:10" x14ac:dyDescent="0.25">
      <c r="B9" s="15" t="s">
        <v>56</v>
      </c>
      <c r="C9" s="50"/>
      <c r="D9" s="52"/>
      <c r="E9" s="52"/>
      <c r="F9" s="52"/>
      <c r="G9" s="52"/>
      <c r="H9" s="52"/>
      <c r="I9" s="52"/>
    </row>
    <row r="10" spans="1:10" x14ac:dyDescent="0.25">
      <c r="B10" s="15" t="s">
        <v>57</v>
      </c>
      <c r="C10" s="50"/>
      <c r="D10" s="52"/>
      <c r="E10" s="52"/>
      <c r="F10" s="52"/>
      <c r="G10" s="52"/>
      <c r="H10" s="52"/>
      <c r="I10" s="52"/>
    </row>
    <row r="11" spans="1:10" x14ac:dyDescent="0.25">
      <c r="B11" s="15" t="s">
        <v>58</v>
      </c>
      <c r="C11" s="50"/>
      <c r="D11" s="52"/>
      <c r="E11" s="52"/>
      <c r="F11" s="52"/>
      <c r="G11" s="52"/>
      <c r="H11" s="52"/>
      <c r="I11" s="52"/>
    </row>
    <row r="12" spans="1:10" x14ac:dyDescent="0.25">
      <c r="B12" s="15" t="s">
        <v>59</v>
      </c>
      <c r="C12" s="50"/>
      <c r="D12" s="52"/>
      <c r="E12" s="52"/>
      <c r="F12" s="52"/>
      <c r="G12" s="52"/>
      <c r="H12" s="52"/>
      <c r="I12" s="52"/>
    </row>
    <row r="13" spans="1:10" ht="15" customHeight="1" x14ac:dyDescent="0.25">
      <c r="B13" s="15" t="s">
        <v>60</v>
      </c>
      <c r="C13" s="50"/>
      <c r="D13" s="52"/>
      <c r="E13" s="52"/>
      <c r="F13" s="52"/>
      <c r="G13" s="52"/>
      <c r="H13" s="52"/>
      <c r="I13" s="52"/>
    </row>
    <row r="14" spans="1:10" x14ac:dyDescent="0.25">
      <c r="B14" s="15" t="s">
        <v>61</v>
      </c>
      <c r="C14" s="50"/>
      <c r="D14" s="53" t="s">
        <v>252</v>
      </c>
      <c r="E14" s="53"/>
      <c r="F14" s="53"/>
      <c r="G14" s="53"/>
      <c r="H14" s="53"/>
      <c r="I14" s="53"/>
    </row>
    <row r="15" spans="1:10" ht="15" customHeight="1" x14ac:dyDescent="0.25">
      <c r="B15" s="15" t="s">
        <v>62</v>
      </c>
      <c r="C15" s="50"/>
      <c r="D15" s="51" t="s">
        <v>254</v>
      </c>
      <c r="E15" s="51"/>
      <c r="F15" s="51"/>
      <c r="G15" s="51"/>
      <c r="H15" s="51"/>
      <c r="I15" s="51"/>
    </row>
    <row r="16" spans="1:10" x14ac:dyDescent="0.25">
      <c r="B16" s="15" t="s">
        <v>63</v>
      </c>
      <c r="C16" s="50"/>
      <c r="D16" s="51"/>
      <c r="E16" s="51"/>
      <c r="F16" s="51"/>
      <c r="G16" s="51"/>
      <c r="H16" s="51"/>
      <c r="I16" s="51"/>
    </row>
    <row r="17" spans="2:9" x14ac:dyDescent="0.25">
      <c r="B17" s="15" t="s">
        <v>64</v>
      </c>
      <c r="C17" s="50"/>
      <c r="D17" s="51"/>
      <c r="E17" s="51"/>
      <c r="F17" s="51"/>
      <c r="G17" s="51"/>
      <c r="H17" s="51"/>
      <c r="I17" s="51"/>
    </row>
    <row r="18" spans="2:9" x14ac:dyDescent="0.25">
      <c r="B18" s="15" t="s">
        <v>65</v>
      </c>
      <c r="C18" s="50"/>
      <c r="D18" s="51"/>
      <c r="E18" s="51"/>
      <c r="F18" s="51"/>
      <c r="G18" s="51"/>
      <c r="H18" s="51"/>
      <c r="I18" s="51"/>
    </row>
    <row r="19" spans="2:9" x14ac:dyDescent="0.25">
      <c r="B19" s="15" t="s">
        <v>66</v>
      </c>
      <c r="C19" s="50"/>
      <c r="D19" s="51"/>
      <c r="E19" s="51"/>
      <c r="F19" s="51"/>
      <c r="G19" s="51"/>
      <c r="H19" s="51"/>
      <c r="I19" s="51"/>
    </row>
    <row r="20" spans="2:9" x14ac:dyDescent="0.25">
      <c r="B20" s="15" t="s">
        <v>67</v>
      </c>
      <c r="C20" s="50"/>
      <c r="D20" s="51"/>
      <c r="E20" s="51"/>
      <c r="F20" s="51"/>
      <c r="G20" s="51"/>
      <c r="H20" s="51"/>
      <c r="I20" s="51"/>
    </row>
    <row r="21" spans="2:9" x14ac:dyDescent="0.25">
      <c r="B21" s="15" t="s">
        <v>68</v>
      </c>
      <c r="C21" s="50"/>
      <c r="D21" s="51"/>
      <c r="E21" s="51"/>
      <c r="F21" s="51"/>
      <c r="G21" s="51"/>
      <c r="H21" s="51"/>
      <c r="I21" s="51"/>
    </row>
    <row r="22" spans="2:9" x14ac:dyDescent="0.25">
      <c r="B22" s="15" t="s">
        <v>69</v>
      </c>
      <c r="C22" s="50"/>
      <c r="D22" s="51"/>
      <c r="E22" s="51"/>
      <c r="F22" s="51"/>
      <c r="G22" s="51"/>
      <c r="H22" s="51"/>
      <c r="I22" s="51"/>
    </row>
    <row r="23" spans="2:9" x14ac:dyDescent="0.25">
      <c r="B23" s="15" t="s">
        <v>70</v>
      </c>
      <c r="C23" s="50"/>
      <c r="D23" s="51"/>
      <c r="E23" s="51"/>
      <c r="F23" s="51"/>
      <c r="G23" s="51"/>
      <c r="H23" s="51"/>
      <c r="I23" s="51"/>
    </row>
    <row r="24" spans="2:9" x14ac:dyDescent="0.25">
      <c r="B24" s="15" t="s">
        <v>71</v>
      </c>
      <c r="C24" s="50"/>
      <c r="D24" s="51"/>
      <c r="E24" s="51"/>
      <c r="F24" s="51"/>
      <c r="G24" s="51"/>
      <c r="H24" s="51"/>
      <c r="I24" s="51"/>
    </row>
    <row r="25" spans="2:9" x14ac:dyDescent="0.25">
      <c r="B25" s="15" t="s">
        <v>72</v>
      </c>
      <c r="C25" s="50"/>
      <c r="D25" s="51"/>
      <c r="E25" s="51"/>
      <c r="F25" s="51"/>
      <c r="G25" s="51"/>
      <c r="H25" s="51"/>
      <c r="I25" s="51"/>
    </row>
    <row r="26" spans="2:9" x14ac:dyDescent="0.25">
      <c r="B26" s="15" t="s">
        <v>73</v>
      </c>
      <c r="C26" s="50"/>
      <c r="D26" s="51"/>
      <c r="E26" s="51"/>
      <c r="F26" s="51"/>
      <c r="G26" s="51"/>
      <c r="H26" s="51"/>
      <c r="I26" s="51"/>
    </row>
    <row r="27" spans="2:9" x14ac:dyDescent="0.25">
      <c r="B27" s="15" t="s">
        <v>74</v>
      </c>
      <c r="C27" s="50"/>
      <c r="D27" s="51"/>
      <c r="E27" s="51"/>
      <c r="F27" s="51"/>
      <c r="G27" s="51"/>
      <c r="H27" s="51"/>
      <c r="I27" s="51"/>
    </row>
    <row r="28" spans="2:9" x14ac:dyDescent="0.25">
      <c r="B28" s="15" t="s">
        <v>75</v>
      </c>
      <c r="C28" s="50"/>
      <c r="D28" s="51"/>
      <c r="E28" s="51"/>
      <c r="F28" s="51"/>
      <c r="G28" s="51"/>
      <c r="H28" s="51"/>
      <c r="I28" s="51"/>
    </row>
    <row r="29" spans="2:9" x14ac:dyDescent="0.25">
      <c r="B29" s="15" t="s">
        <v>76</v>
      </c>
      <c r="C29" s="50"/>
      <c r="D29" s="51"/>
      <c r="E29" s="51"/>
      <c r="F29" s="51"/>
      <c r="G29" s="51"/>
      <c r="H29" s="51"/>
      <c r="I29" s="51"/>
    </row>
    <row r="30" spans="2:9" x14ac:dyDescent="0.25">
      <c r="B30" s="15" t="s">
        <v>77</v>
      </c>
      <c r="C30" s="50"/>
      <c r="D30" s="51"/>
      <c r="E30" s="51"/>
      <c r="F30" s="51"/>
      <c r="G30" s="51"/>
      <c r="H30" s="51"/>
      <c r="I30" s="51"/>
    </row>
    <row r="31" spans="2:9" x14ac:dyDescent="0.25">
      <c r="B31" s="15" t="s">
        <v>78</v>
      </c>
      <c r="C31" s="50"/>
      <c r="D31" s="51"/>
      <c r="E31" s="51"/>
      <c r="F31" s="51"/>
      <c r="G31" s="51"/>
      <c r="H31" s="51"/>
      <c r="I31" s="51"/>
    </row>
    <row r="32" spans="2:9" x14ac:dyDescent="0.25">
      <c r="B32" s="15" t="s">
        <v>79</v>
      </c>
      <c r="C32" s="50"/>
      <c r="D32" s="51"/>
      <c r="E32" s="51"/>
      <c r="F32" s="51"/>
      <c r="G32" s="51"/>
      <c r="H32" s="51"/>
      <c r="I32" s="51"/>
    </row>
    <row r="33" spans="2:9" x14ac:dyDescent="0.25">
      <c r="B33" s="15" t="s">
        <v>80</v>
      </c>
      <c r="C33" s="50"/>
      <c r="D33" s="51"/>
      <c r="E33" s="51"/>
      <c r="F33" s="51"/>
      <c r="G33" s="51"/>
      <c r="H33" s="51"/>
      <c r="I33" s="51"/>
    </row>
    <row r="34" spans="2:9" x14ac:dyDescent="0.25">
      <c r="B34" s="15" t="s">
        <v>81</v>
      </c>
      <c r="C34" s="50"/>
      <c r="D34" s="51"/>
      <c r="E34" s="51"/>
      <c r="F34" s="51"/>
      <c r="G34" s="51"/>
      <c r="H34" s="51"/>
      <c r="I34" s="51"/>
    </row>
    <row r="35" spans="2:9" x14ac:dyDescent="0.25">
      <c r="B35" s="15" t="s">
        <v>82</v>
      </c>
      <c r="C35" s="50"/>
    </row>
    <row r="36" spans="2:9" x14ac:dyDescent="0.25">
      <c r="B36" s="15" t="s">
        <v>83</v>
      </c>
      <c r="C36" s="50"/>
    </row>
    <row r="37" spans="2:9" x14ac:dyDescent="0.25">
      <c r="B37" s="15" t="s">
        <v>84</v>
      </c>
      <c r="C37" s="50"/>
    </row>
    <row r="38" spans="2:9" x14ac:dyDescent="0.25">
      <c r="B38" s="15" t="s">
        <v>85</v>
      </c>
      <c r="C38" s="50"/>
    </row>
    <row r="39" spans="2:9" x14ac:dyDescent="0.25">
      <c r="B39" s="15" t="s">
        <v>86</v>
      </c>
      <c r="C39" s="50"/>
    </row>
    <row r="40" spans="2:9" x14ac:dyDescent="0.25">
      <c r="B40" s="16">
        <v>42389</v>
      </c>
      <c r="C40" s="50"/>
    </row>
    <row r="41" spans="2:9" x14ac:dyDescent="0.25">
      <c r="B41" s="15" t="s">
        <v>87</v>
      </c>
      <c r="C41" s="50"/>
    </row>
    <row r="42" spans="2:9" x14ac:dyDescent="0.25">
      <c r="B42" s="17">
        <v>16898.419999999998</v>
      </c>
      <c r="C42" s="50"/>
    </row>
    <row r="43" spans="2:9" x14ac:dyDescent="0.25">
      <c r="B43" s="15" t="s">
        <v>88</v>
      </c>
      <c r="C43" s="50"/>
    </row>
    <row r="44" spans="2:9" x14ac:dyDescent="0.25">
      <c r="B44" s="16">
        <v>42367</v>
      </c>
      <c r="C44" s="50"/>
    </row>
    <row r="45" spans="2:9" x14ac:dyDescent="0.25">
      <c r="B45" s="15" t="s">
        <v>89</v>
      </c>
      <c r="C45" s="50"/>
    </row>
    <row r="46" spans="2:9" x14ac:dyDescent="0.25">
      <c r="B46" s="16">
        <v>42374</v>
      </c>
      <c r="C46" s="50"/>
    </row>
    <row r="47" spans="2:9" x14ac:dyDescent="0.25">
      <c r="B47" s="15" t="s">
        <v>90</v>
      </c>
      <c r="C47" s="50"/>
    </row>
    <row r="48" spans="2:9" x14ac:dyDescent="0.25">
      <c r="B48" s="15">
        <v>126588787</v>
      </c>
      <c r="C48" s="50"/>
    </row>
    <row r="49" spans="2:3" x14ac:dyDescent="0.25">
      <c r="B49" s="15" t="s">
        <v>45</v>
      </c>
      <c r="C49" s="50"/>
    </row>
    <row r="50" spans="2:3" x14ac:dyDescent="0.25">
      <c r="B50" s="15">
        <v>4972872</v>
      </c>
      <c r="C50" s="50"/>
    </row>
    <row r="51" spans="2:3" x14ac:dyDescent="0.25">
      <c r="B51" s="15" t="s">
        <v>91</v>
      </c>
      <c r="C51" s="50"/>
    </row>
    <row r="52" spans="2:3" x14ac:dyDescent="0.25">
      <c r="B52" s="15">
        <v>1002164727</v>
      </c>
      <c r="C52" s="50"/>
    </row>
    <row r="53" spans="2:3" x14ac:dyDescent="0.25">
      <c r="B53" s="15" t="s">
        <v>92</v>
      </c>
      <c r="C53" s="50"/>
    </row>
    <row r="54" spans="2:3" x14ac:dyDescent="0.25">
      <c r="B54" s="15">
        <v>5119134</v>
      </c>
      <c r="C54" s="50"/>
    </row>
    <row r="55" spans="2:3" x14ac:dyDescent="0.25">
      <c r="B55" s="15" t="s">
        <v>93</v>
      </c>
      <c r="C55" s="50"/>
    </row>
    <row r="56" spans="2:3" x14ac:dyDescent="0.25">
      <c r="B56" s="15" t="s">
        <v>94</v>
      </c>
      <c r="C56" s="50"/>
    </row>
    <row r="57" spans="2:3" x14ac:dyDescent="0.25">
      <c r="B57" s="15" t="s">
        <v>95</v>
      </c>
      <c r="C57" s="50"/>
    </row>
    <row r="58" spans="2:3" x14ac:dyDescent="0.25">
      <c r="B58" s="15" t="s">
        <v>96</v>
      </c>
      <c r="C58" s="50"/>
    </row>
    <row r="59" spans="2:3" x14ac:dyDescent="0.25">
      <c r="B59" s="15" t="s">
        <v>97</v>
      </c>
      <c r="C59" s="50"/>
    </row>
    <row r="60" spans="2:3" x14ac:dyDescent="0.25">
      <c r="B60" s="15" t="s">
        <v>98</v>
      </c>
      <c r="C60" s="50"/>
    </row>
    <row r="61" spans="2:3" x14ac:dyDescent="0.25">
      <c r="B61" s="15" t="s">
        <v>99</v>
      </c>
      <c r="C61" s="50"/>
    </row>
    <row r="62" spans="2:3" x14ac:dyDescent="0.25">
      <c r="B62" s="15" t="s">
        <v>100</v>
      </c>
      <c r="C62" s="50"/>
    </row>
    <row r="63" spans="2:3" x14ac:dyDescent="0.25">
      <c r="B63" s="15" t="s">
        <v>101</v>
      </c>
      <c r="C63" s="50"/>
    </row>
    <row r="64" spans="2:3" x14ac:dyDescent="0.25">
      <c r="B64" s="15" t="s">
        <v>102</v>
      </c>
      <c r="C64" s="50"/>
    </row>
    <row r="65" spans="2:3" x14ac:dyDescent="0.25">
      <c r="B65" s="15">
        <v>5500</v>
      </c>
      <c r="C65" s="50"/>
    </row>
    <row r="66" spans="2:3" x14ac:dyDescent="0.25">
      <c r="B66" s="15">
        <v>4400</v>
      </c>
      <c r="C66" s="50"/>
    </row>
    <row r="67" spans="2:3" x14ac:dyDescent="0.25">
      <c r="B67" s="15">
        <v>3300</v>
      </c>
      <c r="C67" s="50"/>
    </row>
    <row r="68" spans="2:3" x14ac:dyDescent="0.25">
      <c r="B68" s="15">
        <v>2200</v>
      </c>
      <c r="C68" s="50"/>
    </row>
    <row r="69" spans="2:3" x14ac:dyDescent="0.25">
      <c r="B69" s="15">
        <v>1100</v>
      </c>
      <c r="C69" s="50"/>
    </row>
    <row r="70" spans="2:3" x14ac:dyDescent="0.25">
      <c r="B70" s="15">
        <v>0</v>
      </c>
      <c r="C70" s="50"/>
    </row>
    <row r="71" spans="2:3" x14ac:dyDescent="0.25">
      <c r="B71" s="15" t="s">
        <v>103</v>
      </c>
      <c r="C71" s="50"/>
    </row>
    <row r="72" spans="2:3" x14ac:dyDescent="0.25">
      <c r="B72" s="15" t="s">
        <v>104</v>
      </c>
      <c r="C72" s="50"/>
    </row>
    <row r="73" spans="2:3" x14ac:dyDescent="0.25">
      <c r="B73" s="15" t="s">
        <v>105</v>
      </c>
      <c r="C73" s="50"/>
    </row>
    <row r="74" spans="2:3" x14ac:dyDescent="0.25">
      <c r="B74" s="15">
        <v>40000</v>
      </c>
      <c r="C74" s="50"/>
    </row>
    <row r="75" spans="2:3" x14ac:dyDescent="0.25">
      <c r="B75" s="15">
        <v>32000</v>
      </c>
      <c r="C75" s="50"/>
    </row>
    <row r="76" spans="2:3" x14ac:dyDescent="0.25">
      <c r="B76" s="15">
        <v>24000</v>
      </c>
      <c r="C76" s="50"/>
    </row>
    <row r="77" spans="2:3" x14ac:dyDescent="0.25">
      <c r="B77" s="15">
        <v>16000</v>
      </c>
      <c r="C77" s="50"/>
    </row>
    <row r="78" spans="2:3" x14ac:dyDescent="0.25">
      <c r="B78" s="15">
        <v>8000</v>
      </c>
      <c r="C78" s="50"/>
    </row>
    <row r="79" spans="2:3" x14ac:dyDescent="0.25">
      <c r="B79" s="15">
        <v>0</v>
      </c>
      <c r="C79" s="50"/>
    </row>
    <row r="80" spans="2:3" x14ac:dyDescent="0.25">
      <c r="B80" s="15" t="s">
        <v>103</v>
      </c>
      <c r="C80" s="50"/>
    </row>
    <row r="81" spans="2:3" x14ac:dyDescent="0.25">
      <c r="B81" s="15" t="s">
        <v>104</v>
      </c>
      <c r="C81" s="50"/>
    </row>
    <row r="82" spans="2:3" x14ac:dyDescent="0.25">
      <c r="B82" s="15" t="s">
        <v>106</v>
      </c>
      <c r="C82" s="50"/>
    </row>
    <row r="83" spans="2:3" x14ac:dyDescent="0.25">
      <c r="B83" s="15">
        <v>200</v>
      </c>
      <c r="C83" s="50"/>
    </row>
    <row r="84" spans="2:3" x14ac:dyDescent="0.25">
      <c r="B84" s="15">
        <v>160</v>
      </c>
      <c r="C84" s="50"/>
    </row>
    <row r="85" spans="2:3" x14ac:dyDescent="0.25">
      <c r="B85" s="15">
        <v>120</v>
      </c>
      <c r="C85" s="50"/>
    </row>
    <row r="86" spans="2:3" x14ac:dyDescent="0.25">
      <c r="B86" s="15">
        <v>80</v>
      </c>
      <c r="C86" s="50"/>
    </row>
    <row r="87" spans="2:3" x14ac:dyDescent="0.25">
      <c r="B87" s="15">
        <v>40</v>
      </c>
      <c r="C87" s="50"/>
    </row>
    <row r="88" spans="2:3" x14ac:dyDescent="0.25">
      <c r="B88" s="15">
        <v>0</v>
      </c>
      <c r="C88" s="50"/>
    </row>
    <row r="89" spans="2:3" x14ac:dyDescent="0.25">
      <c r="B89" s="15" t="s">
        <v>103</v>
      </c>
      <c r="C89" s="50"/>
    </row>
    <row r="90" spans="2:3" x14ac:dyDescent="0.25">
      <c r="B90" s="15" t="s">
        <v>104</v>
      </c>
      <c r="C90" s="50"/>
    </row>
    <row r="91" spans="2:3" x14ac:dyDescent="0.25">
      <c r="B91" s="15" t="s">
        <v>107</v>
      </c>
      <c r="C91" s="50"/>
    </row>
    <row r="92" spans="2:3" x14ac:dyDescent="0.25">
      <c r="B92" s="15" t="s">
        <v>108</v>
      </c>
      <c r="C92" s="50"/>
    </row>
    <row r="93" spans="2:3" x14ac:dyDescent="0.25">
      <c r="B93" s="15" t="s">
        <v>109</v>
      </c>
      <c r="C93" s="50"/>
    </row>
    <row r="94" spans="2:3" x14ac:dyDescent="0.25">
      <c r="B94" s="15" t="s">
        <v>110</v>
      </c>
      <c r="C94" s="50"/>
    </row>
    <row r="95" spans="2:3" x14ac:dyDescent="0.25">
      <c r="B95" s="15" t="s">
        <v>111</v>
      </c>
      <c r="C95" s="50"/>
    </row>
    <row r="96" spans="2:3" x14ac:dyDescent="0.25">
      <c r="B96" s="15" t="s">
        <v>112</v>
      </c>
      <c r="C96" s="50"/>
    </row>
    <row r="97" spans="2:3" x14ac:dyDescent="0.25">
      <c r="B97" s="18">
        <v>42430</v>
      </c>
      <c r="C97" s="50"/>
    </row>
    <row r="98" spans="2:3" x14ac:dyDescent="0.25">
      <c r="B98" s="15" t="s">
        <v>113</v>
      </c>
      <c r="C98" s="50"/>
    </row>
    <row r="99" spans="2:3" x14ac:dyDescent="0.25">
      <c r="B99" s="15" t="s">
        <v>114</v>
      </c>
      <c r="C99" s="50"/>
    </row>
    <row r="100" spans="2:3" x14ac:dyDescent="0.25">
      <c r="B100" s="15" t="s">
        <v>115</v>
      </c>
      <c r="C100" s="50"/>
    </row>
    <row r="101" spans="2:3" x14ac:dyDescent="0.25">
      <c r="B101" s="15" t="s">
        <v>116</v>
      </c>
      <c r="C101" s="50"/>
    </row>
    <row r="102" spans="2:3" x14ac:dyDescent="0.25">
      <c r="B102" s="15" t="s">
        <v>117</v>
      </c>
      <c r="C102" s="50"/>
    </row>
    <row r="103" spans="2:3" x14ac:dyDescent="0.25">
      <c r="B103" s="15" t="s">
        <v>118</v>
      </c>
      <c r="C103" s="50"/>
    </row>
    <row r="104" spans="2:3" x14ac:dyDescent="0.25">
      <c r="B104" s="15" t="s">
        <v>119</v>
      </c>
      <c r="C104" s="50"/>
    </row>
    <row r="105" spans="2:3" x14ac:dyDescent="0.25">
      <c r="B105" s="15" t="s">
        <v>120</v>
      </c>
      <c r="C105" s="50"/>
    </row>
    <row r="106" spans="2:3" x14ac:dyDescent="0.25">
      <c r="B106" s="15" t="s">
        <v>121</v>
      </c>
      <c r="C106" s="50"/>
    </row>
    <row r="107" spans="2:3" x14ac:dyDescent="0.25">
      <c r="B107" s="15" t="s">
        <v>122</v>
      </c>
      <c r="C107" s="50"/>
    </row>
    <row r="108" spans="2:3" x14ac:dyDescent="0.25">
      <c r="B108" s="15" t="s">
        <v>123</v>
      </c>
      <c r="C108" s="50"/>
    </row>
    <row r="109" spans="2:3" x14ac:dyDescent="0.25">
      <c r="B109" s="15" t="s">
        <v>124</v>
      </c>
      <c r="C109" s="50"/>
    </row>
    <row r="110" spans="2:3" x14ac:dyDescent="0.25">
      <c r="B110" s="15" t="s">
        <v>125</v>
      </c>
      <c r="C110" s="50"/>
    </row>
    <row r="111" spans="2:3" x14ac:dyDescent="0.25">
      <c r="B111" s="15" t="s">
        <v>126</v>
      </c>
      <c r="C111" s="50"/>
    </row>
    <row r="112" spans="2:3" x14ac:dyDescent="0.25">
      <c r="B112" s="15" t="s">
        <v>127</v>
      </c>
      <c r="C112" s="50"/>
    </row>
    <row r="113" spans="2:3" x14ac:dyDescent="0.25">
      <c r="B113" s="15" t="s">
        <v>128</v>
      </c>
      <c r="C113" s="50"/>
    </row>
    <row r="114" spans="2:3" x14ac:dyDescent="0.25">
      <c r="B114" s="15" t="s">
        <v>129</v>
      </c>
      <c r="C114" s="50"/>
    </row>
    <row r="115" spans="2:3" x14ac:dyDescent="0.25">
      <c r="B115" s="15" t="s">
        <v>130</v>
      </c>
      <c r="C115" s="50"/>
    </row>
    <row r="116" spans="2:3" x14ac:dyDescent="0.25">
      <c r="B116" s="15" t="s">
        <v>131</v>
      </c>
      <c r="C116" s="50"/>
    </row>
    <row r="117" spans="2:3" x14ac:dyDescent="0.25">
      <c r="B117" s="15" t="s">
        <v>132</v>
      </c>
      <c r="C117" s="50"/>
    </row>
    <row r="118" spans="2:3" x14ac:dyDescent="0.25">
      <c r="B118" s="15" t="s">
        <v>133</v>
      </c>
      <c r="C118" s="50"/>
    </row>
    <row r="119" spans="2:3" x14ac:dyDescent="0.25">
      <c r="B119" s="15" t="s">
        <v>134</v>
      </c>
      <c r="C119" s="50"/>
    </row>
    <row r="120" spans="2:3" x14ac:dyDescent="0.25">
      <c r="B120" s="15" t="s">
        <v>135</v>
      </c>
      <c r="C120" s="50"/>
    </row>
    <row r="121" spans="2:3" x14ac:dyDescent="0.25">
      <c r="B121" s="15" t="s">
        <v>65</v>
      </c>
      <c r="C121" s="50"/>
    </row>
    <row r="122" spans="2:3" x14ac:dyDescent="0.25">
      <c r="B122" s="15" t="s">
        <v>66</v>
      </c>
      <c r="C122" s="50"/>
    </row>
    <row r="123" spans="2:3" x14ac:dyDescent="0.25">
      <c r="B123" s="15" t="s">
        <v>67</v>
      </c>
      <c r="C123" s="50"/>
    </row>
    <row r="124" spans="2:3" x14ac:dyDescent="0.25">
      <c r="B124" s="15" t="s">
        <v>68</v>
      </c>
      <c r="C124" s="50"/>
    </row>
    <row r="125" spans="2:3" x14ac:dyDescent="0.25">
      <c r="B125" s="15" t="s">
        <v>69</v>
      </c>
      <c r="C125" s="50"/>
    </row>
    <row r="126" spans="2:3" x14ac:dyDescent="0.25">
      <c r="B126" s="15" t="s">
        <v>70</v>
      </c>
      <c r="C126" s="50"/>
    </row>
    <row r="127" spans="2:3" x14ac:dyDescent="0.25">
      <c r="B127" s="15" t="s">
        <v>71</v>
      </c>
      <c r="C127" s="50"/>
    </row>
    <row r="128" spans="2:3" x14ac:dyDescent="0.25">
      <c r="B128" s="15" t="s">
        <v>95</v>
      </c>
      <c r="C128" s="50"/>
    </row>
    <row r="129" spans="2:3" x14ac:dyDescent="0.25">
      <c r="B129" s="15" t="s">
        <v>96</v>
      </c>
      <c r="C129" s="50"/>
    </row>
    <row r="130" spans="2:3" x14ac:dyDescent="0.25">
      <c r="B130" s="15" t="s">
        <v>97</v>
      </c>
      <c r="C130" s="50"/>
    </row>
    <row r="131" spans="2:3" x14ac:dyDescent="0.25">
      <c r="B131" s="15" t="s">
        <v>64</v>
      </c>
      <c r="C131" s="50"/>
    </row>
    <row r="132" spans="2:3" x14ac:dyDescent="0.25">
      <c r="B132" s="15" t="s">
        <v>72</v>
      </c>
      <c r="C132" s="50"/>
    </row>
    <row r="133" spans="2:3" x14ac:dyDescent="0.25">
      <c r="B133" s="15" t="s">
        <v>73</v>
      </c>
      <c r="C133" s="50"/>
    </row>
    <row r="134" spans="2:3" x14ac:dyDescent="0.25">
      <c r="B134" s="15" t="s">
        <v>74</v>
      </c>
      <c r="C134" s="50"/>
    </row>
    <row r="135" spans="2:3" x14ac:dyDescent="0.25">
      <c r="B135" s="15" t="s">
        <v>75</v>
      </c>
      <c r="C135" s="50"/>
    </row>
    <row r="136" spans="2:3" x14ac:dyDescent="0.25">
      <c r="B136" s="15" t="s">
        <v>76</v>
      </c>
      <c r="C136" s="50"/>
    </row>
    <row r="137" spans="2:3" x14ac:dyDescent="0.25">
      <c r="B137" s="15" t="s">
        <v>77</v>
      </c>
      <c r="C137" s="50"/>
    </row>
    <row r="138" spans="2:3" x14ac:dyDescent="0.25">
      <c r="B138" s="15" t="s">
        <v>78</v>
      </c>
      <c r="C138" s="50"/>
    </row>
    <row r="139" spans="2:3" x14ac:dyDescent="0.25">
      <c r="B139" s="15" t="s">
        <v>79</v>
      </c>
      <c r="C139" s="50"/>
    </row>
    <row r="140" spans="2:3" x14ac:dyDescent="0.25">
      <c r="B140" s="15" t="s">
        <v>81</v>
      </c>
      <c r="C140" s="50"/>
    </row>
    <row r="141" spans="2:3" x14ac:dyDescent="0.25">
      <c r="B141" s="15" t="s">
        <v>86</v>
      </c>
      <c r="C141" s="50"/>
    </row>
    <row r="142" spans="2:3" x14ac:dyDescent="0.25">
      <c r="B142" s="16">
        <v>42389</v>
      </c>
      <c r="C142" s="50"/>
    </row>
    <row r="143" spans="2:3" x14ac:dyDescent="0.25">
      <c r="B143" s="15" t="s">
        <v>87</v>
      </c>
      <c r="C143" s="50"/>
    </row>
    <row r="144" spans="2:3" x14ac:dyDescent="0.25">
      <c r="B144" s="17">
        <v>16898.419999999998</v>
      </c>
      <c r="C144" s="50"/>
    </row>
    <row r="145" spans="2:3" x14ac:dyDescent="0.25">
      <c r="B145" s="15" t="s">
        <v>88</v>
      </c>
      <c r="C145" s="50"/>
    </row>
    <row r="146" spans="2:3" x14ac:dyDescent="0.25">
      <c r="B146" s="16">
        <v>42367</v>
      </c>
      <c r="C146" s="50"/>
    </row>
    <row r="147" spans="2:3" x14ac:dyDescent="0.25">
      <c r="B147" s="15" t="s">
        <v>89</v>
      </c>
      <c r="C147" s="50"/>
    </row>
    <row r="148" spans="2:3" x14ac:dyDescent="0.25">
      <c r="B148" s="16">
        <v>42374</v>
      </c>
      <c r="C148" s="50"/>
    </row>
    <row r="149" spans="2:3" x14ac:dyDescent="0.25">
      <c r="B149" s="15" t="s">
        <v>90</v>
      </c>
      <c r="C149" s="50"/>
    </row>
    <row r="150" spans="2:3" x14ac:dyDescent="0.25">
      <c r="B150" s="15">
        <v>126588787</v>
      </c>
      <c r="C150" s="50"/>
    </row>
    <row r="151" spans="2:3" x14ac:dyDescent="0.25">
      <c r="B151" s="15" t="s">
        <v>45</v>
      </c>
      <c r="C151" s="50"/>
    </row>
    <row r="152" spans="2:3" x14ac:dyDescent="0.25">
      <c r="B152" s="15">
        <v>4972872</v>
      </c>
      <c r="C152" s="50"/>
    </row>
    <row r="153" spans="2:3" x14ac:dyDescent="0.25">
      <c r="B153" s="15" t="s">
        <v>91</v>
      </c>
      <c r="C153" s="50"/>
    </row>
    <row r="154" spans="2:3" x14ac:dyDescent="0.25">
      <c r="B154" s="15">
        <v>1002164727</v>
      </c>
      <c r="C154" s="50"/>
    </row>
    <row r="155" spans="2:3" x14ac:dyDescent="0.25">
      <c r="B155" s="15" t="s">
        <v>92</v>
      </c>
      <c r="C155" s="50"/>
    </row>
    <row r="156" spans="2:3" x14ac:dyDescent="0.25">
      <c r="B156" s="15">
        <v>5119134</v>
      </c>
      <c r="C156" s="50"/>
    </row>
    <row r="157" spans="2:3" x14ac:dyDescent="0.25">
      <c r="B157" s="15" t="s">
        <v>136</v>
      </c>
      <c r="C157" s="50"/>
    </row>
    <row r="158" spans="2:3" x14ac:dyDescent="0.25">
      <c r="B158" s="15" t="s">
        <v>137</v>
      </c>
      <c r="C158" s="50"/>
    </row>
    <row r="159" spans="2:3" x14ac:dyDescent="0.25">
      <c r="B159" s="15" t="s">
        <v>138</v>
      </c>
      <c r="C159" s="50"/>
    </row>
    <row r="160" spans="2:3" x14ac:dyDescent="0.25">
      <c r="B160" s="15" t="s">
        <v>139</v>
      </c>
      <c r="C160" s="50"/>
    </row>
    <row r="161" spans="2:3" x14ac:dyDescent="0.25">
      <c r="B161" s="15" t="s">
        <v>140</v>
      </c>
      <c r="C161" s="50"/>
    </row>
    <row r="162" spans="2:3" x14ac:dyDescent="0.25">
      <c r="B162" s="15" t="s">
        <v>141</v>
      </c>
      <c r="C162" s="50"/>
    </row>
    <row r="163" spans="2:3" x14ac:dyDescent="0.25">
      <c r="B163" s="15" t="s">
        <v>142</v>
      </c>
      <c r="C163" s="50"/>
    </row>
    <row r="164" spans="2:3" x14ac:dyDescent="0.25">
      <c r="B164" s="15" t="s">
        <v>143</v>
      </c>
      <c r="C164" s="50"/>
    </row>
    <row r="165" spans="2:3" x14ac:dyDescent="0.25">
      <c r="B165" s="18">
        <v>42431</v>
      </c>
      <c r="C165" s="50"/>
    </row>
    <row r="166" spans="2:3" x14ac:dyDescent="0.25">
      <c r="B166" s="15" t="s">
        <v>113</v>
      </c>
      <c r="C166" s="50"/>
    </row>
    <row r="167" spans="2:3" x14ac:dyDescent="0.25">
      <c r="B167" s="15" t="s">
        <v>114</v>
      </c>
      <c r="C167" s="50"/>
    </row>
    <row r="168" spans="2:3" x14ac:dyDescent="0.25">
      <c r="B168" s="15" t="s">
        <v>144</v>
      </c>
      <c r="C168" s="50"/>
    </row>
    <row r="169" spans="2:3" x14ac:dyDescent="0.25">
      <c r="B169" s="15" t="s">
        <v>145</v>
      </c>
      <c r="C169" s="50"/>
    </row>
    <row r="170" spans="2:3" x14ac:dyDescent="0.25">
      <c r="B170" s="15" t="s">
        <v>115</v>
      </c>
      <c r="C170" s="50"/>
    </row>
    <row r="171" spans="2:3" x14ac:dyDescent="0.25">
      <c r="B171" s="15" t="s">
        <v>65</v>
      </c>
      <c r="C171" s="50"/>
    </row>
    <row r="172" spans="2:3" x14ac:dyDescent="0.25">
      <c r="B172" s="15" t="s">
        <v>66</v>
      </c>
      <c r="C172" s="50"/>
    </row>
    <row r="173" spans="2:3" x14ac:dyDescent="0.25">
      <c r="B173" s="15" t="s">
        <v>67</v>
      </c>
      <c r="C173" s="50"/>
    </row>
    <row r="174" spans="2:3" x14ac:dyDescent="0.25">
      <c r="B174" s="15" t="s">
        <v>68</v>
      </c>
      <c r="C174" s="50"/>
    </row>
    <row r="175" spans="2:3" x14ac:dyDescent="0.25">
      <c r="B175" s="15" t="s">
        <v>69</v>
      </c>
      <c r="C175" s="50"/>
    </row>
    <row r="176" spans="2:3" x14ac:dyDescent="0.25">
      <c r="B176" s="15" t="s">
        <v>70</v>
      </c>
      <c r="C176" s="50"/>
    </row>
    <row r="177" spans="2:3" x14ac:dyDescent="0.25">
      <c r="B177" s="15" t="s">
        <v>71</v>
      </c>
      <c r="C177" s="50"/>
    </row>
    <row r="178" spans="2:3" x14ac:dyDescent="0.25">
      <c r="B178" s="15" t="s">
        <v>64</v>
      </c>
      <c r="C178" s="50"/>
    </row>
    <row r="179" spans="2:3" x14ac:dyDescent="0.25">
      <c r="B179" s="15" t="s">
        <v>72</v>
      </c>
      <c r="C179" s="50"/>
    </row>
    <row r="180" spans="2:3" x14ac:dyDescent="0.25">
      <c r="B180" s="15" t="s">
        <v>73</v>
      </c>
      <c r="C180" s="50"/>
    </row>
    <row r="181" spans="2:3" x14ac:dyDescent="0.25">
      <c r="B181" s="15" t="s">
        <v>74</v>
      </c>
      <c r="C181" s="50"/>
    </row>
    <row r="182" spans="2:3" x14ac:dyDescent="0.25">
      <c r="B182" s="15" t="s">
        <v>75</v>
      </c>
      <c r="C182" s="50"/>
    </row>
    <row r="183" spans="2:3" x14ac:dyDescent="0.25">
      <c r="B183" s="15" t="s">
        <v>76</v>
      </c>
      <c r="C183" s="50"/>
    </row>
    <row r="184" spans="2:3" x14ac:dyDescent="0.25">
      <c r="B184" s="15" t="s">
        <v>77</v>
      </c>
      <c r="C184" s="50"/>
    </row>
    <row r="185" spans="2:3" x14ac:dyDescent="0.25">
      <c r="B185" s="15" t="s">
        <v>78</v>
      </c>
      <c r="C185" s="50"/>
    </row>
    <row r="186" spans="2:3" x14ac:dyDescent="0.25">
      <c r="B186" s="15" t="s">
        <v>79</v>
      </c>
      <c r="C186" s="50"/>
    </row>
    <row r="187" spans="2:3" x14ac:dyDescent="0.25">
      <c r="B187" s="15" t="s">
        <v>81</v>
      </c>
      <c r="C187" s="50"/>
    </row>
    <row r="188" spans="2:3" x14ac:dyDescent="0.25">
      <c r="B188" s="15" t="s">
        <v>86</v>
      </c>
      <c r="C188" s="50"/>
    </row>
    <row r="189" spans="2:3" x14ac:dyDescent="0.25">
      <c r="B189" s="16">
        <v>42389</v>
      </c>
      <c r="C189" s="50"/>
    </row>
    <row r="190" spans="2:3" x14ac:dyDescent="0.25">
      <c r="B190" s="15" t="s">
        <v>87</v>
      </c>
      <c r="C190" s="50"/>
    </row>
    <row r="191" spans="2:3" x14ac:dyDescent="0.25">
      <c r="B191" s="17">
        <v>16898.419999999998</v>
      </c>
      <c r="C191" s="50"/>
    </row>
    <row r="192" spans="2:3" x14ac:dyDescent="0.25">
      <c r="B192" s="15" t="s">
        <v>88</v>
      </c>
      <c r="C192" s="50"/>
    </row>
    <row r="193" spans="2:3" x14ac:dyDescent="0.25">
      <c r="B193" s="16">
        <v>42367</v>
      </c>
      <c r="C193" s="50"/>
    </row>
    <row r="194" spans="2:3" x14ac:dyDescent="0.25">
      <c r="B194" s="15" t="s">
        <v>89</v>
      </c>
      <c r="C194" s="50"/>
    </row>
    <row r="195" spans="2:3" x14ac:dyDescent="0.25">
      <c r="B195" s="16">
        <v>42374</v>
      </c>
      <c r="C195" s="50"/>
    </row>
    <row r="196" spans="2:3" x14ac:dyDescent="0.25">
      <c r="B196" s="15" t="s">
        <v>90</v>
      </c>
      <c r="C196" s="50"/>
    </row>
    <row r="197" spans="2:3" x14ac:dyDescent="0.25">
      <c r="B197" s="15">
        <v>126588787</v>
      </c>
      <c r="C197" s="50"/>
    </row>
    <row r="198" spans="2:3" x14ac:dyDescent="0.25">
      <c r="B198" s="15" t="s">
        <v>45</v>
      </c>
      <c r="C198" s="50"/>
    </row>
    <row r="199" spans="2:3" x14ac:dyDescent="0.25">
      <c r="B199" s="15">
        <v>4972872</v>
      </c>
      <c r="C199" s="50"/>
    </row>
    <row r="200" spans="2:3" x14ac:dyDescent="0.25">
      <c r="B200" s="15" t="s">
        <v>91</v>
      </c>
      <c r="C200" s="50"/>
    </row>
    <row r="201" spans="2:3" x14ac:dyDescent="0.25">
      <c r="B201" s="15">
        <v>1002164727</v>
      </c>
      <c r="C201" s="50"/>
    </row>
    <row r="202" spans="2:3" x14ac:dyDescent="0.25">
      <c r="B202" s="15" t="s">
        <v>92</v>
      </c>
      <c r="C202" s="50"/>
    </row>
    <row r="203" spans="2:3" x14ac:dyDescent="0.25">
      <c r="B203" s="15">
        <v>5119134</v>
      </c>
      <c r="C203" s="50"/>
    </row>
    <row r="204" spans="2:3" x14ac:dyDescent="0.25">
      <c r="B204" s="15" t="s">
        <v>95</v>
      </c>
      <c r="C204" s="50"/>
    </row>
    <row r="205" spans="2:3" x14ac:dyDescent="0.25">
      <c r="B205" s="15" t="s">
        <v>96</v>
      </c>
      <c r="C205" s="50"/>
    </row>
    <row r="206" spans="2:3" x14ac:dyDescent="0.25">
      <c r="B206" s="15" t="s">
        <v>97</v>
      </c>
      <c r="C206" s="50"/>
    </row>
    <row r="207" spans="2:3" x14ac:dyDescent="0.25">
      <c r="B207" s="15" t="s">
        <v>146</v>
      </c>
      <c r="C207" s="50"/>
    </row>
    <row r="208" spans="2:3" x14ac:dyDescent="0.25">
      <c r="B208" s="15" t="s">
        <v>147</v>
      </c>
      <c r="C208" s="50"/>
    </row>
    <row r="209" spans="2:3" x14ac:dyDescent="0.25">
      <c r="B209" s="15" t="s">
        <v>148</v>
      </c>
      <c r="C209" s="50"/>
    </row>
    <row r="210" spans="2:3" x14ac:dyDescent="0.25">
      <c r="B210" s="15" t="s">
        <v>149</v>
      </c>
      <c r="C210" s="50"/>
    </row>
    <row r="211" spans="2:3" x14ac:dyDescent="0.25">
      <c r="B211" s="15" t="s">
        <v>150</v>
      </c>
      <c r="C211" s="50"/>
    </row>
    <row r="212" spans="2:3" x14ac:dyDescent="0.25">
      <c r="B212" s="15" t="s">
        <v>151</v>
      </c>
      <c r="C212" s="50"/>
    </row>
    <row r="213" spans="2:3" x14ac:dyDescent="0.25">
      <c r="B213" s="15" t="s">
        <v>152</v>
      </c>
      <c r="C213" s="50"/>
    </row>
    <row r="214" spans="2:3" x14ac:dyDescent="0.25">
      <c r="B214" s="15" t="s">
        <v>153</v>
      </c>
      <c r="C214" s="50"/>
    </row>
    <row r="215" spans="2:3" x14ac:dyDescent="0.25">
      <c r="B215" s="15" t="s">
        <v>154</v>
      </c>
      <c r="C215" s="50"/>
    </row>
    <row r="216" spans="2:3" x14ac:dyDescent="0.25">
      <c r="B216" s="15" t="s">
        <v>155</v>
      </c>
      <c r="C216" s="50"/>
    </row>
    <row r="217" spans="2:3" x14ac:dyDescent="0.25">
      <c r="B217" s="15" t="s">
        <v>156</v>
      </c>
      <c r="C217" s="50"/>
    </row>
    <row r="218" spans="2:3" x14ac:dyDescent="0.25">
      <c r="B218" s="19">
        <v>42278</v>
      </c>
      <c r="C218" s="50"/>
    </row>
    <row r="219" spans="2:3" x14ac:dyDescent="0.25">
      <c r="B219" s="15" t="s">
        <v>157</v>
      </c>
      <c r="C219" s="50"/>
    </row>
    <row r="220" spans="2:3" x14ac:dyDescent="0.25">
      <c r="B220" s="15" t="s">
        <v>158</v>
      </c>
      <c r="C220" s="50"/>
    </row>
    <row r="221" spans="2:3" x14ac:dyDescent="0.25">
      <c r="B221" s="15" t="s">
        <v>159</v>
      </c>
      <c r="C221" s="50"/>
    </row>
    <row r="222" spans="2:3" x14ac:dyDescent="0.25">
      <c r="B222" s="15" t="s">
        <v>160</v>
      </c>
      <c r="C222" s="50"/>
    </row>
    <row r="223" spans="2:3" x14ac:dyDescent="0.25">
      <c r="B223" s="15" t="s">
        <v>161</v>
      </c>
      <c r="C223" s="50"/>
    </row>
    <row r="224" spans="2:3" x14ac:dyDescent="0.25">
      <c r="B224" s="15" t="s">
        <v>162</v>
      </c>
      <c r="C224" s="50"/>
    </row>
    <row r="225" spans="2:3" x14ac:dyDescent="0.25">
      <c r="B225" s="15" t="s">
        <v>163</v>
      </c>
      <c r="C225" s="50"/>
    </row>
    <row r="226" spans="2:3" x14ac:dyDescent="0.25">
      <c r="B226" s="15" t="s">
        <v>164</v>
      </c>
      <c r="C226" s="50"/>
    </row>
    <row r="227" spans="2:3" x14ac:dyDescent="0.25">
      <c r="B227" s="15" t="s">
        <v>165</v>
      </c>
      <c r="C227" s="50"/>
    </row>
    <row r="228" spans="2:3" x14ac:dyDescent="0.25">
      <c r="B228" s="15" t="s">
        <v>166</v>
      </c>
      <c r="C228" s="50"/>
    </row>
    <row r="229" spans="2:3" x14ac:dyDescent="0.25">
      <c r="B229" s="15" t="s">
        <v>167</v>
      </c>
      <c r="C229" s="50"/>
    </row>
    <row r="230" spans="2:3" x14ac:dyDescent="0.25">
      <c r="B230" s="15" t="s">
        <v>168</v>
      </c>
      <c r="C230" s="50"/>
    </row>
    <row r="231" spans="2:3" x14ac:dyDescent="0.25">
      <c r="B231" s="15" t="s">
        <v>169</v>
      </c>
      <c r="C231" s="50"/>
    </row>
    <row r="232" spans="2:3" x14ac:dyDescent="0.25">
      <c r="B232" s="15" t="s">
        <v>170</v>
      </c>
      <c r="C232" s="50"/>
    </row>
    <row r="233" spans="2:3" x14ac:dyDescent="0.25">
      <c r="B233" s="15" t="s">
        <v>171</v>
      </c>
      <c r="C233" s="50"/>
    </row>
    <row r="234" spans="2:3" x14ac:dyDescent="0.25">
      <c r="B234" s="15" t="s">
        <v>172</v>
      </c>
      <c r="C234" s="50"/>
    </row>
    <row r="235" spans="2:3" x14ac:dyDescent="0.25">
      <c r="B235" s="15" t="s">
        <v>114</v>
      </c>
      <c r="C235" s="50"/>
    </row>
    <row r="236" spans="2:3" x14ac:dyDescent="0.25">
      <c r="B236" s="15" t="s">
        <v>173</v>
      </c>
      <c r="C236" s="50"/>
    </row>
    <row r="237" spans="2:3" x14ac:dyDescent="0.25">
      <c r="B237" s="15" t="s">
        <v>174</v>
      </c>
      <c r="C237" s="50"/>
    </row>
    <row r="238" spans="2:3" x14ac:dyDescent="0.25">
      <c r="B238" s="15" t="s">
        <v>175</v>
      </c>
      <c r="C238" s="50"/>
    </row>
    <row r="239" spans="2:3" x14ac:dyDescent="0.25">
      <c r="B239" s="15" t="s">
        <v>176</v>
      </c>
      <c r="C239" s="50"/>
    </row>
    <row r="240" spans="2:3" x14ac:dyDescent="0.25">
      <c r="B240" s="15" t="s">
        <v>177</v>
      </c>
      <c r="C240" s="50"/>
    </row>
    <row r="241" spans="2:3" x14ac:dyDescent="0.25">
      <c r="B241" s="15" t="s">
        <v>178</v>
      </c>
      <c r="C241" s="50"/>
    </row>
    <row r="242" spans="2:3" x14ac:dyDescent="0.25">
      <c r="B242" s="15" t="s">
        <v>179</v>
      </c>
      <c r="C242" s="50"/>
    </row>
    <row r="243" spans="2:3" x14ac:dyDescent="0.25">
      <c r="B243" s="15" t="s">
        <v>180</v>
      </c>
      <c r="C243" s="50"/>
    </row>
    <row r="244" spans="2:3" x14ac:dyDescent="0.25">
      <c r="B244" s="15" t="s">
        <v>181</v>
      </c>
      <c r="C244" s="50"/>
    </row>
    <row r="245" spans="2:3" x14ac:dyDescent="0.25">
      <c r="B245" s="15" t="s">
        <v>182</v>
      </c>
      <c r="C245" s="50"/>
    </row>
    <row r="246" spans="2:3" x14ac:dyDescent="0.25">
      <c r="B246" s="15" t="s">
        <v>183</v>
      </c>
      <c r="C246" s="50"/>
    </row>
    <row r="247" spans="2:3" x14ac:dyDescent="0.25">
      <c r="B247" s="15" t="s">
        <v>184</v>
      </c>
      <c r="C247" s="50"/>
    </row>
    <row r="248" spans="2:3" x14ac:dyDescent="0.25">
      <c r="B248" s="15" t="s">
        <v>185</v>
      </c>
      <c r="C248" s="50"/>
    </row>
    <row r="249" spans="2:3" x14ac:dyDescent="0.25">
      <c r="B249" s="15" t="s">
        <v>186</v>
      </c>
      <c r="C249" s="50"/>
    </row>
    <row r="250" spans="2:3" x14ac:dyDescent="0.25">
      <c r="B250" s="15" t="s">
        <v>187</v>
      </c>
      <c r="C250" s="50"/>
    </row>
    <row r="251" spans="2:3" x14ac:dyDescent="0.25">
      <c r="B251" s="15" t="s">
        <v>188</v>
      </c>
      <c r="C251" s="50"/>
    </row>
    <row r="252" spans="2:3" x14ac:dyDescent="0.25">
      <c r="B252" s="15" t="s">
        <v>189</v>
      </c>
      <c r="C252" s="50"/>
    </row>
    <row r="253" spans="2:3" x14ac:dyDescent="0.25">
      <c r="B253" s="15" t="s">
        <v>190</v>
      </c>
      <c r="C253" s="50"/>
    </row>
    <row r="254" spans="2:3" x14ac:dyDescent="0.25">
      <c r="B254" s="15" t="s">
        <v>191</v>
      </c>
      <c r="C254" s="50"/>
    </row>
    <row r="255" spans="2:3" x14ac:dyDescent="0.25">
      <c r="B255" s="15" t="s">
        <v>192</v>
      </c>
      <c r="C255" s="50"/>
    </row>
    <row r="256" spans="2:3" x14ac:dyDescent="0.25">
      <c r="B256" s="15" t="s">
        <v>193</v>
      </c>
      <c r="C256" s="50"/>
    </row>
    <row r="257" spans="2:3" x14ac:dyDescent="0.25">
      <c r="B257" s="15" t="s">
        <v>194</v>
      </c>
      <c r="C257" s="50"/>
    </row>
    <row r="258" spans="2:3" x14ac:dyDescent="0.25">
      <c r="B258" s="17">
        <v>16898.419999999998</v>
      </c>
      <c r="C258" s="50"/>
    </row>
    <row r="259" spans="2:3" x14ac:dyDescent="0.25">
      <c r="B259" s="15" t="s">
        <v>195</v>
      </c>
      <c r="C259" s="50"/>
    </row>
    <row r="260" spans="2:3" x14ac:dyDescent="0.25">
      <c r="B260" s="15" t="s">
        <v>196</v>
      </c>
      <c r="C260" s="50"/>
    </row>
    <row r="261" spans="2:3" x14ac:dyDescent="0.25">
      <c r="B261" s="15" t="s">
        <v>197</v>
      </c>
      <c r="C261" s="50"/>
    </row>
    <row r="262" spans="2:3" x14ac:dyDescent="0.25">
      <c r="B262" s="15" t="s">
        <v>198</v>
      </c>
      <c r="C262" s="50"/>
    </row>
    <row r="263" spans="2:3" x14ac:dyDescent="0.25">
      <c r="B263" s="15" t="s">
        <v>199</v>
      </c>
      <c r="C263" s="50"/>
    </row>
    <row r="264" spans="2:3" x14ac:dyDescent="0.25">
      <c r="B264" s="15" t="s">
        <v>200</v>
      </c>
      <c r="C264" s="50"/>
    </row>
    <row r="265" spans="2:3" x14ac:dyDescent="0.25">
      <c r="B265" s="15" t="s">
        <v>114</v>
      </c>
      <c r="C265" s="50"/>
    </row>
    <row r="266" spans="2:3" x14ac:dyDescent="0.25">
      <c r="B266" s="15" t="s">
        <v>201</v>
      </c>
      <c r="C266" s="50"/>
    </row>
    <row r="267" spans="2:3" x14ac:dyDescent="0.25">
      <c r="B267" s="15" t="s">
        <v>202</v>
      </c>
      <c r="C267" s="50"/>
    </row>
    <row r="268" spans="2:3" x14ac:dyDescent="0.25">
      <c r="B268" s="15" t="s">
        <v>203</v>
      </c>
      <c r="C268" s="50"/>
    </row>
    <row r="269" spans="2:3" x14ac:dyDescent="0.25">
      <c r="B269" s="15" t="s">
        <v>204</v>
      </c>
      <c r="C269" s="50"/>
    </row>
    <row r="270" spans="2:3" x14ac:dyDescent="0.25">
      <c r="B270" s="15" t="s">
        <v>205</v>
      </c>
      <c r="C270" s="50"/>
    </row>
    <row r="271" spans="2:3" x14ac:dyDescent="0.25">
      <c r="B271" s="18">
        <v>42432</v>
      </c>
      <c r="C271" s="50"/>
    </row>
    <row r="272" spans="2:3" x14ac:dyDescent="0.25">
      <c r="B272" s="15" t="s">
        <v>206</v>
      </c>
      <c r="C272" s="50"/>
    </row>
    <row r="273" spans="2:3" x14ac:dyDescent="0.25">
      <c r="B273" s="15" t="s">
        <v>115</v>
      </c>
      <c r="C273" s="50"/>
    </row>
  </sheetData>
  <mergeCells count="6">
    <mergeCell ref="C1:C273"/>
    <mergeCell ref="D4:I13"/>
    <mergeCell ref="D3:I3"/>
    <mergeCell ref="D14:I14"/>
    <mergeCell ref="D15:I34"/>
    <mergeCell ref="D1:I2"/>
  </mergeCells>
  <hyperlinks>
    <hyperlink ref="A6" r:id="rId1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2:BF39"/>
  <sheetViews>
    <sheetView tabSelected="1" topLeftCell="O1" zoomScale="70" zoomScaleNormal="70" workbookViewId="0">
      <selection activeCell="AA5" sqref="AA5"/>
    </sheetView>
  </sheetViews>
  <sheetFormatPr defaultRowHeight="15" x14ac:dyDescent="0.25"/>
  <cols>
    <col min="1" max="1" width="17.28515625" customWidth="1"/>
    <col min="2" max="2" width="18.7109375" customWidth="1"/>
    <col min="3" max="3" width="11.28515625" customWidth="1"/>
    <col min="4" max="4" width="34" customWidth="1"/>
    <col min="5" max="5" width="14.7109375" customWidth="1"/>
    <col min="6" max="6" width="21" customWidth="1"/>
    <col min="7" max="7" width="58.7109375" customWidth="1"/>
    <col min="8" max="8" width="65.85546875" hidden="1" customWidth="1"/>
    <col min="9" max="9" width="19.140625" customWidth="1"/>
    <col min="10" max="10" width="55.85546875" customWidth="1"/>
    <col min="11" max="11" width="16.85546875" customWidth="1"/>
    <col min="12" max="12" width="29.5703125" hidden="1" customWidth="1"/>
    <col min="13" max="13" width="11.28515625" hidden="1" customWidth="1"/>
    <col min="14" max="15" width="11.28515625" customWidth="1"/>
    <col min="16" max="16" width="14.7109375" customWidth="1"/>
    <col min="17" max="18" width="11.28515625" hidden="1" customWidth="1"/>
    <col min="19" max="20" width="11.28515625" customWidth="1"/>
    <col min="21" max="22" width="11.28515625" hidden="1" customWidth="1"/>
    <col min="23" max="23" width="60" customWidth="1"/>
    <col min="24" max="24" width="15.140625" customWidth="1"/>
    <col min="25" max="25" width="62.5703125" customWidth="1"/>
    <col min="26" max="26" width="13.85546875" customWidth="1"/>
    <col min="27" max="27" width="62.28515625" customWidth="1"/>
    <col min="28" max="28" width="11.28515625" customWidth="1"/>
    <col min="29" max="29" width="68.85546875" customWidth="1"/>
    <col min="30" max="30" width="11.28515625" customWidth="1"/>
    <col min="31" max="31" width="38.42578125" customWidth="1"/>
    <col min="32" max="32" width="48.42578125" customWidth="1"/>
    <col min="33" max="33" width="23.42578125" customWidth="1"/>
    <col min="34" max="34" width="11.42578125" customWidth="1"/>
    <col min="35" max="35" width="52.5703125" customWidth="1"/>
    <col min="36" max="36" width="58.5703125" customWidth="1"/>
    <col min="37" max="37" width="64.28515625" customWidth="1"/>
    <col min="38" max="38" width="70" customWidth="1"/>
    <col min="39" max="39" width="32" customWidth="1"/>
    <col min="40" max="40" width="31.7109375" customWidth="1"/>
    <col min="41" max="41" width="35.85546875" customWidth="1"/>
    <col min="42" max="42" width="33.85546875" customWidth="1"/>
    <col min="43" max="44" width="11.28515625" customWidth="1"/>
    <col min="45" max="45" width="62.5703125" customWidth="1"/>
    <col min="46" max="47" width="11.28515625" customWidth="1"/>
  </cols>
  <sheetData>
    <row r="2" spans="1:58" ht="43.5" customHeight="1" x14ac:dyDescent="0.25">
      <c r="B2" s="20"/>
      <c r="C2" s="25" t="s">
        <v>207</v>
      </c>
      <c r="D2" s="41" t="s">
        <v>46</v>
      </c>
      <c r="E2" s="41" t="s">
        <v>45</v>
      </c>
      <c r="F2" s="41" t="s">
        <v>208</v>
      </c>
      <c r="G2" s="41" t="s">
        <v>209</v>
      </c>
      <c r="H2" s="42" t="s">
        <v>210</v>
      </c>
      <c r="I2" s="43" t="s">
        <v>211</v>
      </c>
      <c r="J2" s="41" t="s">
        <v>212</v>
      </c>
      <c r="K2" s="44" t="s">
        <v>213</v>
      </c>
      <c r="L2" s="42" t="s">
        <v>214</v>
      </c>
      <c r="M2" s="46" t="s">
        <v>215</v>
      </c>
      <c r="N2" s="45" t="s">
        <v>216</v>
      </c>
      <c r="O2" s="41" t="s">
        <v>217</v>
      </c>
      <c r="P2" s="44" t="s">
        <v>218</v>
      </c>
      <c r="Q2" s="42" t="s">
        <v>219</v>
      </c>
      <c r="R2" s="46" t="s">
        <v>220</v>
      </c>
      <c r="S2" s="41" t="s">
        <v>221</v>
      </c>
      <c r="T2" s="44" t="s">
        <v>222</v>
      </c>
      <c r="U2" s="42" t="s">
        <v>223</v>
      </c>
      <c r="V2" s="46" t="s">
        <v>224</v>
      </c>
      <c r="W2" s="41" t="s">
        <v>225</v>
      </c>
      <c r="X2" s="44" t="s">
        <v>226</v>
      </c>
      <c r="Y2" s="41" t="s">
        <v>227</v>
      </c>
      <c r="Z2" s="44" t="s">
        <v>228</v>
      </c>
      <c r="AA2" s="41" t="s">
        <v>229</v>
      </c>
      <c r="AB2" s="44" t="s">
        <v>230</v>
      </c>
      <c r="AC2" s="41" t="s">
        <v>231</v>
      </c>
      <c r="AD2" s="44" t="s">
        <v>232</v>
      </c>
      <c r="AE2" s="44" t="s">
        <v>233</v>
      </c>
      <c r="AF2" s="44" t="s">
        <v>234</v>
      </c>
      <c r="AG2" s="44" t="s">
        <v>235</v>
      </c>
      <c r="AH2" s="44" t="s">
        <v>236</v>
      </c>
      <c r="AI2" s="41" t="s">
        <v>237</v>
      </c>
      <c r="AJ2" s="41" t="s">
        <v>238</v>
      </c>
      <c r="AK2" s="41" t="s">
        <v>239</v>
      </c>
      <c r="AL2" s="41" t="s">
        <v>240</v>
      </c>
      <c r="AM2" s="41" t="s">
        <v>241</v>
      </c>
      <c r="AN2" s="41" t="s">
        <v>242</v>
      </c>
      <c r="AO2" s="41" t="s">
        <v>243</v>
      </c>
      <c r="AP2" s="41" t="s">
        <v>244</v>
      </c>
      <c r="AQ2" s="41" t="s">
        <v>245</v>
      </c>
      <c r="AR2" s="41" t="s">
        <v>246</v>
      </c>
      <c r="AS2" s="41" t="s">
        <v>247</v>
      </c>
      <c r="AT2" s="41" t="s">
        <v>248</v>
      </c>
      <c r="AU2" s="41" t="s">
        <v>249</v>
      </c>
    </row>
    <row r="3" spans="1:58" ht="16.5" customHeight="1" x14ac:dyDescent="0.25">
      <c r="A3" s="32" t="s">
        <v>255</v>
      </c>
      <c r="B3" s="32"/>
      <c r="C3" s="33"/>
      <c r="D3" s="32" t="str">
        <f>TRIM(RIGHT(D6,LEN(D6)-FIND("-",D6)))</f>
        <v>ESCOLA DE ADMINISTRACAO</v>
      </c>
      <c r="E3" s="27">
        <f>E6</f>
        <v>4972872</v>
      </c>
      <c r="F3" s="32" t="str">
        <f>F6</f>
        <v>A4 Horo-sazonal Verde</v>
      </c>
      <c r="G3" s="28">
        <f>VALUE(SUBSTITUTE(TRIM(INVERTER(LEFT(INVERTER(G6),SEARCH(" ",INVERTER(G6))))),".",","))</f>
        <v>186</v>
      </c>
      <c r="H3" s="32"/>
      <c r="I3" s="34">
        <f>I6</f>
        <v>16898.419999999998</v>
      </c>
      <c r="J3" s="35">
        <f>VALUE(LEFT(SUBSTITUTE(J6,"Demanda Ativa(kW) ",""),SEARCH(" ",SUBSTITUTE(J6,"Consumo Ativo Na Ponta(kWh ",""))))</f>
        <v>186</v>
      </c>
      <c r="K3" s="47">
        <f>VALUE(TRIM(INVERTER(LEFT(INVERTER(J6),SEARCH(" ",INVERTER(J6))))))</f>
        <v>3843.9</v>
      </c>
      <c r="L3" s="32"/>
      <c r="M3" s="32"/>
      <c r="N3" s="32">
        <f>IF(N6=0,0,VALUE(LEFT(SUBSTITUTE(N6,"Demanda Ativa Ultrapassagem(kW) ",""),SEARCH(" ",SUBSTITUTE(N6,"Consumo Ativo Na Ponta(kWh ","")))))</f>
        <v>0</v>
      </c>
      <c r="O3" s="32"/>
      <c r="P3" s="29">
        <f>IF(N6=0,0,VALUE(TRIM(INVERTER(LEFT(INVERTER(N6),SEARCH(" ",INVERTER(N6)))))))</f>
        <v>0</v>
      </c>
      <c r="Q3" s="32"/>
      <c r="R3" s="32"/>
      <c r="S3" s="32">
        <f>VALUE(LEFT(SUBSTITUTE(S6,"Demanda Reativa Excedente.(kVAR)",""),SEARCH(" ",SUBSTITUTE(S6,"Consumo Ativo Na Ponta(kWh ",""))))</f>
        <v>0</v>
      </c>
      <c r="T3" s="32">
        <f>VALUE(TRIM(INVERTER(LEFT(INVERTER(S6),SEARCH(" ",INVERTER(S6))))))</f>
        <v>0</v>
      </c>
      <c r="U3" s="32"/>
      <c r="V3" s="32"/>
      <c r="W3" s="35">
        <f>VALUE(LEFT(SUBSTITUTE(W6,"Consumo Ativo Na Ponta(kWh ",""),SEARCH(" ",SUBSTITUTE(W6,"Consumo Ativo Na Ponta(kWh ",""))))</f>
        <v>2518.3000000000002</v>
      </c>
      <c r="X3" s="29">
        <f>VALUE(TRIM(INVERTER(LEFT(INVERTER(W6),SEARCH(" ",INVERTER(W6))))))</f>
        <v>4605.28</v>
      </c>
      <c r="Y3" s="35">
        <f>VALUE(LEFT(SUBSTITUTE(Y6,"Consumo Ativo Fora Ponta(kWh) ",""),SEARCH(" ",SUBSTITUTE(Y6,"Consumo Ativo Na Ponta(kWh ",""))))</f>
        <v>25940</v>
      </c>
      <c r="Z3" s="29">
        <f>VALUE(TRIM(INVERTER(LEFT(INVERTER(Y6),SEARCH(" ",INVERTER(Y6))))))</f>
        <v>8327.08</v>
      </c>
      <c r="AA3" s="35">
        <f>VALUE(LEFT(SUBSTITUTE(AA6,"Consumo Reativo Exc. Na Ponta(kVARh) ",""),SEARCH(" ",SUBSTITUTE(AA6,"Consumo Ativo Na Ponta(kWh ",""))))</f>
        <v>88.8</v>
      </c>
      <c r="AB3" s="29">
        <f>VALUE(TRIM(INVERTER(LEFT(INVERTER(AA6),SEARCH(" ",INVERTER(AA6))))))</f>
        <v>20.61</v>
      </c>
      <c r="AC3" s="35">
        <f>VALUE(LEFT(SUBSTITUTE(AC6,"Consumo Reativo Exc. Fora Ponta(kVARh) ",""),SEARCH(" ",SUBSTITUTE(AC6,"Consumo Ativo Na Ponta(kWh ",""))))</f>
        <v>1090</v>
      </c>
      <c r="AD3" s="29">
        <f>VALUE(TRIM(INVERTER(LEFT(INVERTER(AC6),SEARCH(" ",INVERTER(AC6))))))</f>
        <v>253.01</v>
      </c>
      <c r="AE3" s="29">
        <f>VALUE(RIGHT(AE6,LEN(AE6)-32))</f>
        <v>160.78</v>
      </c>
      <c r="AF3" s="29">
        <f>SUM(AF17:AF21)</f>
        <v>725.18</v>
      </c>
      <c r="AG3" s="29">
        <f>VALUE(SUBSTITUTE(RIGHT(AG6,LEN(AG6)-16),"-",""))</f>
        <v>1037.42</v>
      </c>
      <c r="AH3" s="29">
        <f>IF(AH6=0,0,VALUE(SUBSTITUTE(TRIM(INVERTER(LEFT(INVERTER(AH6),SEARCH(" ",INVERTER(AH6))))),"-","")))</f>
        <v>0</v>
      </c>
      <c r="AI3" s="30">
        <f>VALUE(TRIM(INVERTER(LEFT(INVERTER(AI6),SEARCH(" ",INVERTER(AI6))))))</f>
        <v>83.6</v>
      </c>
      <c r="AJ3" s="30">
        <f>VALUE(TRIM(INVERTER(LEFT(INVERTER(AJ6),SEARCH(" ",INVERTER(AJ6))))))</f>
        <v>122.4</v>
      </c>
      <c r="AK3" s="35">
        <f>VALUE(TRIM(INVERTER(LEFT(INVERTER(AK6),SEARCH(" ",INVERTER(AK6))))))</f>
        <v>1171.9000000000001</v>
      </c>
      <c r="AL3" s="35">
        <f>VALUE(TRIM(INVERTER(LEFT(INVERTER(AL6),SEARCH(" ",INVERTER(AL6))))))</f>
        <v>12350</v>
      </c>
      <c r="AM3" s="31" t="str">
        <f>datar(LEFT(RIGHT(AM6,LEN(AM6)-SEARCH(" ",AM6)),SEARCH(" ",RIGHT(AM6,LEN(AM6)-SEARCH(" ",AM6)))))</f>
        <v>23/11/2015</v>
      </c>
      <c r="AN3" s="31" t="str">
        <f>datar(TRIM(INVERTER(LEFT(INVERTER(AN6),SEARCH(" ",INVERTER(AN6))))))</f>
        <v>23/12/2015</v>
      </c>
      <c r="AO3" s="36" t="str">
        <f>LEFT(TRIM(RIGHT(AO6,LEN(AO6)-SEARCH(": ",AO6))),SEARCH(" ",TRIM(RIGHT(AO6,LEN(AO6)-SEARCH(": ",AO6)))))</f>
        <v xml:space="preserve">0,46 </v>
      </c>
      <c r="AP3" s="36">
        <f>VALUE(TRIM(INVERTER(LEFT(INVERTER(AP6),SEARCH(" ",INVERTER(AP6))))))</f>
        <v>0.32</v>
      </c>
      <c r="AQ3" s="37">
        <f>AN3-AM3</f>
        <v>30</v>
      </c>
      <c r="AR3" s="38">
        <f>3*(NETWORKDAYS.INTL(AM3,AN3)-COUNTIFS($AV$796:$AV$807,"&gt;="&amp;AM3,$AV$796:$AV$807,"&lt;="&amp;AN3,$AW$796:$AW$807,"&lt;&gt;"&amp;$AW$809,$AW$796:$AW$807,"&lt;&gt;"&amp;$AW$808)-1)</f>
        <v>66</v>
      </c>
      <c r="AS3" s="35" t="str">
        <f>TRIM(RIGHT(LEFT(AS6,SEARCH(" / ",AS6)),LEN(LEFT(AS6,SEARCH(" / ",AS6)))-SEARCH("-",LEFT(AS6,SEARCH(" / ",AS6)))))</f>
        <v>31268761</v>
      </c>
      <c r="AT3" s="48" t="str">
        <f>AT6</f>
        <v>2x150</v>
      </c>
      <c r="AU3" s="48">
        <f>AU6</f>
        <v>300</v>
      </c>
      <c r="AV3" s="32"/>
      <c r="AW3" s="32"/>
      <c r="AX3" s="32"/>
      <c r="AY3" s="32"/>
      <c r="AZ3" s="32"/>
      <c r="BA3" s="32"/>
      <c r="BB3" s="32"/>
      <c r="BC3" s="32"/>
      <c r="BD3" s="32"/>
      <c r="BE3" s="32"/>
      <c r="BF3" s="32"/>
    </row>
    <row r="4" spans="1:58" x14ac:dyDescent="0.25">
      <c r="A4" s="32" t="s">
        <v>256</v>
      </c>
      <c r="B4" s="32"/>
      <c r="C4" s="33"/>
      <c r="D4" s="32"/>
      <c r="E4" s="27"/>
      <c r="F4" s="32"/>
      <c r="G4" s="28"/>
      <c r="H4" s="32"/>
      <c r="I4" s="34"/>
      <c r="J4" s="35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5"/>
      <c r="X4" s="32"/>
      <c r="Y4" s="35"/>
      <c r="Z4" s="32"/>
      <c r="AA4" s="35"/>
      <c r="AB4" s="32"/>
      <c r="AC4" s="35"/>
      <c r="AD4" s="32"/>
      <c r="AE4" s="32"/>
      <c r="AF4" s="32"/>
      <c r="AG4" s="32"/>
      <c r="AH4" s="32"/>
      <c r="AI4" s="30"/>
      <c r="AJ4" s="30"/>
      <c r="AK4" s="35"/>
      <c r="AL4" s="35"/>
      <c r="AM4" s="31"/>
      <c r="AN4" s="31"/>
      <c r="AO4" s="36"/>
      <c r="AP4" s="36"/>
      <c r="AQ4" s="37"/>
      <c r="AR4" s="38"/>
      <c r="AS4" s="35"/>
      <c r="AT4" s="35"/>
      <c r="AU4" s="35"/>
      <c r="AV4" s="32"/>
      <c r="AW4" s="32"/>
      <c r="AX4" s="32"/>
      <c r="AY4" s="32"/>
      <c r="AZ4" s="32"/>
      <c r="BA4" s="32"/>
      <c r="BB4" s="32"/>
      <c r="BC4" s="32"/>
      <c r="BD4" s="32"/>
      <c r="BE4" s="32"/>
      <c r="BF4" s="32"/>
    </row>
    <row r="5" spans="1:58" x14ac:dyDescent="0.25">
      <c r="A5" s="32"/>
      <c r="B5" s="32"/>
      <c r="C5" s="33"/>
      <c r="D5" s="39"/>
      <c r="E5" s="27"/>
      <c r="F5" s="32"/>
      <c r="G5" s="39"/>
      <c r="H5" s="32"/>
      <c r="I5" s="34"/>
      <c r="J5" s="39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9"/>
      <c r="X5" s="32"/>
      <c r="Y5" s="39"/>
      <c r="Z5" s="32"/>
      <c r="AA5" s="39"/>
      <c r="AB5" s="32"/>
      <c r="AC5" s="39"/>
      <c r="AD5" s="32"/>
      <c r="AE5" s="39"/>
      <c r="AF5" s="32"/>
      <c r="AG5" s="39"/>
      <c r="AH5" s="32"/>
      <c r="AI5" s="39"/>
      <c r="AJ5" s="39"/>
      <c r="AK5" s="39"/>
      <c r="AL5" s="39"/>
      <c r="AM5" s="31"/>
      <c r="AN5" s="31"/>
      <c r="AO5" s="39"/>
      <c r="AP5" s="39"/>
      <c r="AQ5" s="37"/>
      <c r="AR5" s="38"/>
      <c r="AS5" s="39"/>
      <c r="AT5" s="35"/>
      <c r="AU5" s="35"/>
      <c r="AV5" s="32"/>
      <c r="AW5" s="32"/>
      <c r="AX5" s="32"/>
      <c r="AY5" s="32"/>
      <c r="AZ5" s="32"/>
      <c r="BA5" s="32"/>
      <c r="BB5" s="32"/>
      <c r="BC5" s="32"/>
      <c r="BD5" s="32"/>
      <c r="BE5" s="32"/>
      <c r="BF5" s="32"/>
    </row>
    <row r="6" spans="1:58" x14ac:dyDescent="0.25">
      <c r="A6" s="32"/>
      <c r="B6" s="32"/>
      <c r="C6" s="33"/>
      <c r="D6" s="15" t="s">
        <v>80</v>
      </c>
      <c r="E6" s="15">
        <v>4972872</v>
      </c>
      <c r="F6" s="15" t="s">
        <v>96</v>
      </c>
      <c r="G6" s="15" t="s">
        <v>145</v>
      </c>
      <c r="H6" s="32"/>
      <c r="I6" s="17">
        <v>16898.419999999998</v>
      </c>
      <c r="J6" s="14" t="s">
        <v>50</v>
      </c>
      <c r="K6" s="32">
        <v>0</v>
      </c>
      <c r="L6" s="32"/>
      <c r="M6" s="32"/>
      <c r="N6">
        <v>0</v>
      </c>
      <c r="O6" s="32"/>
      <c r="P6" s="32">
        <v>0</v>
      </c>
      <c r="Q6" s="32"/>
      <c r="R6" s="32"/>
      <c r="S6" s="15" t="s">
        <v>51</v>
      </c>
      <c r="T6" s="32"/>
      <c r="U6" s="32"/>
      <c r="V6" s="32"/>
      <c r="W6" s="15" t="s">
        <v>53</v>
      </c>
      <c r="X6" s="32">
        <v>0</v>
      </c>
      <c r="Y6" s="15" t="s">
        <v>54</v>
      </c>
      <c r="Z6" s="32">
        <v>0</v>
      </c>
      <c r="AA6" s="15" t="s">
        <v>55</v>
      </c>
      <c r="AB6" s="32">
        <v>0</v>
      </c>
      <c r="AC6" s="15" t="s">
        <v>56</v>
      </c>
      <c r="AD6" s="32">
        <v>0</v>
      </c>
      <c r="AE6" s="15" t="s">
        <v>57</v>
      </c>
      <c r="AF6" s="32">
        <v>0</v>
      </c>
      <c r="AG6" s="15" t="s">
        <v>63</v>
      </c>
      <c r="AH6" s="39">
        <v>0</v>
      </c>
      <c r="AI6" s="15" t="s">
        <v>128</v>
      </c>
      <c r="AJ6" s="15" t="s">
        <v>129</v>
      </c>
      <c r="AK6" s="15" t="s">
        <v>130</v>
      </c>
      <c r="AL6" s="15" t="s">
        <v>131</v>
      </c>
      <c r="AM6" s="15" t="s">
        <v>124</v>
      </c>
      <c r="AN6" s="15" t="s">
        <v>124</v>
      </c>
      <c r="AO6" s="15" t="s">
        <v>142</v>
      </c>
      <c r="AP6" s="15" t="s">
        <v>142</v>
      </c>
      <c r="AQ6" s="37">
        <v>0</v>
      </c>
      <c r="AR6" s="38">
        <v>0</v>
      </c>
      <c r="AS6" s="15" t="s">
        <v>123</v>
      </c>
      <c r="AT6" s="48" t="s">
        <v>270</v>
      </c>
      <c r="AU6" s="48">
        <v>300</v>
      </c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</row>
    <row r="7" spans="1:58" x14ac:dyDescent="0.25">
      <c r="A7" s="32"/>
      <c r="B7" s="32"/>
      <c r="C7" s="32"/>
      <c r="D7" s="32"/>
      <c r="E7" s="32"/>
      <c r="F7" s="32"/>
      <c r="G7" s="32"/>
      <c r="H7" s="32"/>
      <c r="I7" s="34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5"/>
      <c r="AL7" s="35"/>
      <c r="AM7" s="32"/>
      <c r="AN7" s="32"/>
      <c r="AO7" s="32"/>
      <c r="AP7" s="32"/>
      <c r="AQ7" s="32"/>
      <c r="AR7" s="38"/>
      <c r="AS7" s="32"/>
      <c r="AT7" s="32"/>
      <c r="AU7" s="32"/>
      <c r="AV7" s="32"/>
      <c r="AW7" s="32"/>
      <c r="AX7" s="32"/>
      <c r="AY7" s="32"/>
      <c r="AZ7" s="32"/>
      <c r="BA7" s="32"/>
      <c r="BB7" s="32"/>
      <c r="BC7" s="32"/>
      <c r="BD7" s="32"/>
      <c r="BE7" s="32"/>
      <c r="BF7" s="32"/>
    </row>
    <row r="8" spans="1:58" hidden="1" x14ac:dyDescent="0.25">
      <c r="A8" s="32"/>
      <c r="B8" s="32"/>
      <c r="C8" s="32"/>
      <c r="D8" s="32"/>
      <c r="E8" s="32"/>
      <c r="F8" s="32"/>
      <c r="G8" s="32"/>
      <c r="H8" s="32"/>
      <c r="I8" s="34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5"/>
      <c r="AL8" s="35"/>
      <c r="AM8" s="32"/>
      <c r="AN8" s="32"/>
      <c r="AO8" s="32"/>
      <c r="AP8" s="32"/>
      <c r="AQ8" s="32"/>
      <c r="AR8" s="38"/>
      <c r="AS8" s="32"/>
      <c r="AT8" s="32"/>
      <c r="AU8" s="32"/>
      <c r="AV8" s="32"/>
      <c r="AW8" s="32"/>
      <c r="AX8" s="32"/>
      <c r="AY8" s="32"/>
      <c r="AZ8" s="32"/>
      <c r="BA8" s="32"/>
      <c r="BB8" s="32"/>
      <c r="BC8" s="32"/>
      <c r="BD8" s="32"/>
      <c r="BE8" s="32"/>
      <c r="BF8" s="32"/>
    </row>
    <row r="9" spans="1:58" hidden="1" x14ac:dyDescent="0.25">
      <c r="A9" s="32"/>
      <c r="B9" s="32"/>
      <c r="C9" s="32"/>
      <c r="D9" s="32"/>
      <c r="E9" s="32"/>
      <c r="F9" s="32"/>
      <c r="G9" s="32"/>
      <c r="H9" s="32"/>
      <c r="I9" s="34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8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</row>
    <row r="10" spans="1:58" hidden="1" x14ac:dyDescent="0.25">
      <c r="A10" s="32"/>
      <c r="B10" s="32"/>
      <c r="C10" s="40"/>
      <c r="D10" s="26"/>
      <c r="E10" s="27"/>
      <c r="F10" s="37"/>
      <c r="G10" s="28"/>
      <c r="H10" s="35"/>
      <c r="I10" s="34"/>
      <c r="J10" s="35"/>
      <c r="K10" s="29"/>
      <c r="L10" s="35"/>
      <c r="M10" s="29"/>
      <c r="N10" s="37"/>
      <c r="O10" s="37"/>
      <c r="P10" s="29"/>
      <c r="Q10" s="37"/>
      <c r="R10" s="29"/>
      <c r="S10" s="35"/>
      <c r="T10" s="29"/>
      <c r="U10" s="35"/>
      <c r="V10" s="29"/>
      <c r="W10" s="35"/>
      <c r="X10" s="29"/>
      <c r="Y10" s="35"/>
      <c r="Z10" s="29"/>
      <c r="AA10" s="35"/>
      <c r="AB10" s="29"/>
      <c r="AC10" s="35"/>
      <c r="AD10" s="29"/>
      <c r="AE10" s="29"/>
      <c r="AF10" s="15" t="s">
        <v>60</v>
      </c>
      <c r="AG10" s="29"/>
      <c r="AH10" s="29"/>
      <c r="AI10" s="30"/>
      <c r="AJ10" s="30"/>
      <c r="AK10" s="35"/>
      <c r="AL10" s="35"/>
      <c r="AM10" s="31"/>
      <c r="AN10" s="31"/>
      <c r="AO10" s="36"/>
      <c r="AP10" s="36"/>
      <c r="AQ10" s="37"/>
      <c r="AR10" s="38"/>
      <c r="AS10" s="35"/>
      <c r="AT10" s="35"/>
      <c r="AU10" s="35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</row>
    <row r="11" spans="1:58" hidden="1" x14ac:dyDescent="0.25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15" t="s">
        <v>59</v>
      </c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2"/>
      <c r="BF11" s="32"/>
    </row>
    <row r="12" spans="1:58" hidden="1" x14ac:dyDescent="0.25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15" t="s">
        <v>58</v>
      </c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  <c r="BF12" s="32"/>
    </row>
    <row r="13" spans="1:58" hidden="1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15" t="s">
        <v>62</v>
      </c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</row>
    <row r="14" spans="1:58" hidden="1" x14ac:dyDescent="0.25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15" t="s">
        <v>61</v>
      </c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</row>
    <row r="15" spans="1:58" ht="15.75" hidden="1" customHeight="1" x14ac:dyDescent="0.25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15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2"/>
      <c r="BA15" s="32"/>
      <c r="BB15" s="32"/>
      <c r="BC15" s="32"/>
      <c r="BD15" s="32"/>
      <c r="BE15" s="32"/>
      <c r="BF15" s="32"/>
    </row>
    <row r="16" spans="1:58" hidden="1" x14ac:dyDescent="0.25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15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2"/>
      <c r="BA16" s="32"/>
      <c r="BB16" s="32"/>
      <c r="BC16" s="32"/>
      <c r="BD16" s="32"/>
      <c r="BE16" s="32"/>
      <c r="BF16" s="32"/>
    </row>
    <row r="17" spans="1:58" hidden="1" x14ac:dyDescent="0.25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>
        <f>VALUE(TRIM(INVERTER(LEFT(INVERTER(AF10),SEARCH(" ",INVERTER(AF10))))))</f>
        <v>3.82</v>
      </c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2"/>
      <c r="BF17" s="32"/>
    </row>
    <row r="18" spans="1:58" hidden="1" x14ac:dyDescent="0.25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>
        <f>VALUE(TRIM(INVERTER(LEFT(INVERTER(AF11),SEARCH(" ",INVERTER(AF11))))))</f>
        <v>32.15</v>
      </c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32"/>
      <c r="AS18" s="32"/>
      <c r="AT18" s="32"/>
      <c r="AU18" s="32"/>
      <c r="AV18" s="32"/>
      <c r="AW18" s="32"/>
      <c r="AX18" s="32"/>
      <c r="AY18" s="32"/>
      <c r="AZ18" s="32"/>
      <c r="BA18" s="32"/>
      <c r="BB18" s="32"/>
      <c r="BC18" s="32"/>
      <c r="BD18" s="32"/>
      <c r="BE18" s="32"/>
      <c r="BF18" s="32"/>
    </row>
    <row r="19" spans="1:58" hidden="1" x14ac:dyDescent="0.25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>
        <f>VALUE(TRIM(INVERTER(LEFT(INVERTER(AF12),SEARCH(" ",INVERTER(AF12))))))</f>
        <v>4.28</v>
      </c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  <c r="AY19" s="32"/>
      <c r="AZ19" s="32"/>
      <c r="BA19" s="32"/>
      <c r="BB19" s="32"/>
      <c r="BC19" s="32"/>
      <c r="BD19" s="32"/>
      <c r="BE19" s="32"/>
      <c r="BF19" s="32"/>
    </row>
    <row r="20" spans="1:58" hidden="1" x14ac:dyDescent="0.25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>
        <f>VALUE(TRIM(INVERTER(LEFT(INVERTER(AF13),SEARCH(" ",INVERTER(AF13))))))</f>
        <v>389.28</v>
      </c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2"/>
      <c r="BA20" s="32"/>
      <c r="BB20" s="32"/>
      <c r="BC20" s="32"/>
      <c r="BD20" s="32"/>
      <c r="BE20" s="32"/>
      <c r="BF20" s="32"/>
    </row>
    <row r="21" spans="1:58" hidden="1" x14ac:dyDescent="0.25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>
        <f>VALUE(TRIM(INVERTER(LEFT(INVERTER(AF14),SEARCH(" ",INVERTER(AF14))))))</f>
        <v>295.64999999999998</v>
      </c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32"/>
      <c r="AS21" s="32"/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2"/>
      <c r="BE21" s="32"/>
      <c r="BF21" s="32"/>
    </row>
    <row r="22" spans="1:58" hidden="1" x14ac:dyDescent="0.25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2"/>
      <c r="AT22" s="32"/>
      <c r="AU22" s="32"/>
      <c r="AV22" s="32"/>
      <c r="AW22" s="32"/>
      <c r="AX22" s="32"/>
      <c r="AY22" s="32"/>
      <c r="AZ22" s="32"/>
      <c r="BA22" s="32"/>
      <c r="BB22" s="32"/>
      <c r="BC22" s="32"/>
      <c r="BD22" s="32"/>
      <c r="BE22" s="32"/>
      <c r="BF22" s="32"/>
    </row>
    <row r="23" spans="1:58" hidden="1" x14ac:dyDescent="0.25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  <c r="AX23" s="32"/>
      <c r="AY23" s="32"/>
      <c r="AZ23" s="32"/>
      <c r="BA23" s="32"/>
      <c r="BB23" s="32"/>
      <c r="BC23" s="32"/>
      <c r="BD23" s="32"/>
      <c r="BE23" s="32"/>
      <c r="BF23" s="32"/>
    </row>
    <row r="24" spans="1:58" hidden="1" x14ac:dyDescent="0.25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</row>
    <row r="25" spans="1:58" hidden="1" x14ac:dyDescent="0.25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32"/>
      <c r="AS25" s="32"/>
      <c r="AT25" s="32"/>
      <c r="AU25" s="32"/>
      <c r="AV25" s="32"/>
      <c r="AW25" s="32"/>
      <c r="AX25" s="32"/>
      <c r="AY25" s="32"/>
      <c r="AZ25" s="32"/>
      <c r="BA25" s="32"/>
      <c r="BB25" s="32"/>
      <c r="BC25" s="32"/>
      <c r="BD25" s="32"/>
      <c r="BE25" s="32"/>
      <c r="BF25" s="32"/>
    </row>
    <row r="26" spans="1:58" hidden="1" x14ac:dyDescent="0.25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  <c r="AX26" s="32"/>
      <c r="AY26" s="32"/>
      <c r="AZ26" s="32"/>
      <c r="BA26" s="32"/>
      <c r="BB26" s="32"/>
      <c r="BC26" s="32"/>
      <c r="BD26" s="32"/>
      <c r="BE26" s="32"/>
      <c r="BF26" s="32"/>
    </row>
    <row r="27" spans="1:58" hidden="1" x14ac:dyDescent="0.25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32"/>
      <c r="AS27" s="32"/>
      <c r="AT27" s="32"/>
      <c r="AU27" s="32"/>
      <c r="AV27" s="32"/>
      <c r="AW27" s="32"/>
      <c r="AX27" s="32"/>
      <c r="AY27" s="32"/>
      <c r="AZ27" s="32"/>
      <c r="BA27" s="32"/>
      <c r="BB27" s="32"/>
      <c r="BC27" s="32"/>
      <c r="BD27" s="32"/>
      <c r="BE27" s="32"/>
      <c r="BF27" s="32"/>
    </row>
    <row r="28" spans="1:58" hidden="1" x14ac:dyDescent="0.25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2"/>
      <c r="AV28" s="32"/>
      <c r="AW28" s="32"/>
      <c r="AX28" s="32"/>
      <c r="AY28" s="32"/>
      <c r="AZ28" s="32"/>
      <c r="BA28" s="32"/>
      <c r="BB28" s="32"/>
      <c r="BC28" s="32"/>
      <c r="BD28" s="32"/>
      <c r="BE28" s="32"/>
      <c r="BF28" s="32"/>
    </row>
    <row r="29" spans="1:58" x14ac:dyDescent="0.25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32"/>
      <c r="AF29" s="32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32"/>
      <c r="AS29" s="32"/>
      <c r="AT29" s="32"/>
      <c r="AU29" s="32"/>
      <c r="AV29" s="32"/>
      <c r="AW29" s="32"/>
      <c r="AX29" s="32"/>
      <c r="AY29" s="32"/>
      <c r="AZ29" s="32"/>
      <c r="BA29" s="32"/>
      <c r="BB29" s="32"/>
      <c r="BC29" s="32"/>
      <c r="BD29" s="32"/>
      <c r="BE29" s="32"/>
      <c r="BF29" s="32"/>
    </row>
    <row r="30" spans="1:58" x14ac:dyDescent="0.25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32"/>
      <c r="AS30" s="32"/>
      <c r="AT30" s="32"/>
      <c r="AU30" s="32"/>
      <c r="AV30" s="32"/>
      <c r="AW30" s="32"/>
      <c r="AX30" s="32"/>
      <c r="AY30" s="32"/>
      <c r="AZ30" s="32"/>
      <c r="BA30" s="32"/>
      <c r="BB30" s="32"/>
      <c r="BC30" s="32"/>
      <c r="BD30" s="32"/>
      <c r="BE30" s="32"/>
      <c r="BF30" s="32"/>
    </row>
    <row r="31" spans="1:58" x14ac:dyDescent="0.25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32"/>
      <c r="AS31" s="32"/>
      <c r="AT31" s="32"/>
      <c r="AU31" s="32"/>
      <c r="AV31" s="32"/>
      <c r="AW31" s="32"/>
      <c r="AX31" s="32"/>
      <c r="AY31" s="32"/>
      <c r="AZ31" s="32"/>
      <c r="BA31" s="32"/>
      <c r="BB31" s="32"/>
      <c r="BC31" s="32"/>
      <c r="BD31" s="32"/>
      <c r="BE31" s="32"/>
      <c r="BF31" s="32"/>
    </row>
    <row r="32" spans="1:58" x14ac:dyDescent="0.25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32"/>
      <c r="AS32" s="32"/>
      <c r="AT32" s="32"/>
      <c r="AU32" s="32"/>
      <c r="AV32" s="32"/>
      <c r="AW32" s="32"/>
      <c r="AX32" s="32"/>
      <c r="AY32" s="32"/>
      <c r="AZ32" s="32"/>
      <c r="BA32" s="32"/>
      <c r="BB32" s="32"/>
      <c r="BC32" s="32"/>
      <c r="BD32" s="32"/>
      <c r="BE32" s="32"/>
      <c r="BF32" s="32"/>
    </row>
    <row r="33" spans="1:58" x14ac:dyDescent="0.25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32"/>
      <c r="AS33" s="32"/>
      <c r="AT33" s="32"/>
      <c r="AU33" s="32"/>
      <c r="AV33" s="32"/>
      <c r="AW33" s="32"/>
      <c r="AX33" s="32"/>
      <c r="AY33" s="32"/>
      <c r="AZ33" s="32"/>
      <c r="BA33" s="32"/>
      <c r="BB33" s="32"/>
      <c r="BC33" s="32"/>
      <c r="BD33" s="32"/>
      <c r="BE33" s="32"/>
      <c r="BF33" s="32"/>
    </row>
    <row r="34" spans="1:58" x14ac:dyDescent="0.25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</row>
    <row r="35" spans="1:58" x14ac:dyDescent="0.25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</row>
    <row r="36" spans="1:58" x14ac:dyDescent="0.2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</row>
    <row r="37" spans="1:58" x14ac:dyDescent="0.25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  <c r="BC37" s="32"/>
      <c r="BD37" s="32"/>
      <c r="BE37" s="32"/>
      <c r="BF37" s="32"/>
    </row>
    <row r="38" spans="1:58" x14ac:dyDescent="0.25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</row>
    <row r="39" spans="1:58" x14ac:dyDescent="0.25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</row>
  </sheetData>
  <conditionalFormatting sqref="O2">
    <cfRule type="cellIs" dxfId="5" priority="7" operator="lessThan">
      <formula>5</formula>
    </cfRule>
    <cfRule type="cellIs" dxfId="4" priority="8" operator="equal">
      <formula>5</formula>
    </cfRule>
    <cfRule type="cellIs" dxfId="3" priority="9" operator="greaterThan">
      <formula>5</formula>
    </cfRule>
  </conditionalFormatting>
  <conditionalFormatting sqref="O10">
    <cfRule type="cellIs" dxfId="2" priority="1" operator="lessThan">
      <formula>5</formula>
    </cfRule>
    <cfRule type="cellIs" dxfId="1" priority="2" operator="equal">
      <formula>5</formula>
    </cfRule>
    <cfRule type="cellIs" dxfId="0" priority="3" operator="greaterThan">
      <formula>5</formula>
    </cfRule>
  </conditionalFormatting>
  <dataValidations count="1">
    <dataValidation type="list" allowBlank="1" showErrorMessage="1" sqref="F10:H10">
      <formula1>$BE$796:$BE$801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UTO">
                <anchor moveWithCells="1">
                  <from>
                    <xdr:col>1</xdr:col>
                    <xdr:colOff>9525</xdr:colOff>
                    <xdr:row>2</xdr:row>
                    <xdr:rowOff>0</xdr:rowOff>
                  </from>
                  <to>
                    <xdr:col>1</xdr:col>
                    <xdr:colOff>1238250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_xludf.Clear">
                <anchor moveWithCells="1" sizeWithCells="1">
                  <from>
                    <xdr:col>1</xdr:col>
                    <xdr:colOff>19050</xdr:colOff>
                    <xdr:row>3</xdr:row>
                    <xdr:rowOff>28575</xdr:rowOff>
                  </from>
                  <to>
                    <xdr:col>1</xdr:col>
                    <xdr:colOff>1238250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E54"/>
  <sheetViews>
    <sheetView workbookViewId="0">
      <selection activeCell="E5" sqref="E5"/>
    </sheetView>
  </sheetViews>
  <sheetFormatPr defaultRowHeight="15" x14ac:dyDescent="0.25"/>
  <cols>
    <col min="1" max="1" width="67.28515625" customWidth="1"/>
    <col min="2" max="3" width="40.140625" customWidth="1"/>
    <col min="4" max="4" width="13.85546875" customWidth="1"/>
  </cols>
  <sheetData>
    <row r="1" spans="1:5" ht="28.5" customHeight="1" x14ac:dyDescent="0.25">
      <c r="A1" s="10" t="s">
        <v>46</v>
      </c>
      <c r="B1" s="10" t="s">
        <v>45</v>
      </c>
      <c r="C1" s="10" t="s">
        <v>44</v>
      </c>
      <c r="D1" s="41" t="s">
        <v>248</v>
      </c>
      <c r="E1" s="41" t="s">
        <v>249</v>
      </c>
    </row>
    <row r="2" spans="1:5" x14ac:dyDescent="0.25">
      <c r="A2" s="12" t="s">
        <v>257</v>
      </c>
      <c r="B2" s="13">
        <v>24320740</v>
      </c>
      <c r="C2" s="13">
        <v>15180714000287</v>
      </c>
      <c r="D2" s="49" t="s">
        <v>277</v>
      </c>
      <c r="E2" s="49">
        <v>300</v>
      </c>
    </row>
    <row r="3" spans="1:5" x14ac:dyDescent="0.25">
      <c r="A3" s="12" t="s">
        <v>258</v>
      </c>
      <c r="B3" s="13">
        <v>4972678</v>
      </c>
      <c r="C3" s="13">
        <v>15180714000287</v>
      </c>
      <c r="D3" s="48" t="s">
        <v>268</v>
      </c>
      <c r="E3" s="48">
        <v>1050</v>
      </c>
    </row>
    <row r="4" spans="1:5" x14ac:dyDescent="0.25">
      <c r="A4" s="12" t="s">
        <v>259</v>
      </c>
      <c r="B4" s="13">
        <v>4972740</v>
      </c>
      <c r="C4" s="13">
        <v>15180714000287</v>
      </c>
      <c r="D4" s="49" t="s">
        <v>269</v>
      </c>
      <c r="E4" s="49">
        <v>1350</v>
      </c>
    </row>
    <row r="5" spans="1:5" x14ac:dyDescent="0.25">
      <c r="A5" s="12" t="s">
        <v>260</v>
      </c>
      <c r="B5" s="13">
        <v>4972872</v>
      </c>
      <c r="C5" s="13">
        <v>15180714000287</v>
      </c>
      <c r="D5" s="48" t="s">
        <v>270</v>
      </c>
      <c r="E5" s="48">
        <v>300</v>
      </c>
    </row>
    <row r="6" spans="1:5" x14ac:dyDescent="0.25">
      <c r="A6" s="12" t="s">
        <v>261</v>
      </c>
      <c r="B6" s="13">
        <v>14285334</v>
      </c>
      <c r="C6" s="13">
        <v>15180714000287</v>
      </c>
      <c r="D6" s="49" t="s">
        <v>271</v>
      </c>
      <c r="E6" s="49">
        <v>112.5</v>
      </c>
    </row>
    <row r="7" spans="1:5" x14ac:dyDescent="0.25">
      <c r="A7" s="6" t="s">
        <v>262</v>
      </c>
      <c r="B7" s="3">
        <v>206802332</v>
      </c>
      <c r="C7" s="3">
        <v>15180714000287</v>
      </c>
      <c r="D7" s="48" t="s">
        <v>272</v>
      </c>
      <c r="E7" s="48">
        <v>225</v>
      </c>
    </row>
    <row r="8" spans="1:5" x14ac:dyDescent="0.25">
      <c r="A8" s="5" t="s">
        <v>263</v>
      </c>
      <c r="B8" s="4">
        <v>4972880</v>
      </c>
      <c r="C8" s="3">
        <v>15180714000287</v>
      </c>
      <c r="D8" s="49" t="s">
        <v>273</v>
      </c>
      <c r="E8" s="49">
        <v>225</v>
      </c>
    </row>
    <row r="9" spans="1:5" x14ac:dyDescent="0.25">
      <c r="A9" s="6" t="s">
        <v>264</v>
      </c>
      <c r="B9" s="9">
        <v>28167555</v>
      </c>
      <c r="C9" s="3">
        <v>15180714000287</v>
      </c>
      <c r="D9" s="48" t="s">
        <v>270</v>
      </c>
      <c r="E9" s="48">
        <v>300</v>
      </c>
    </row>
    <row r="10" spans="1:5" ht="15.75" customHeight="1" x14ac:dyDescent="0.25">
      <c r="A10" s="5" t="s">
        <v>265</v>
      </c>
      <c r="B10" s="4">
        <v>4973232</v>
      </c>
      <c r="C10" s="3">
        <v>15180714000287</v>
      </c>
      <c r="D10" s="49" t="s">
        <v>274</v>
      </c>
      <c r="E10" s="49">
        <v>712.5</v>
      </c>
    </row>
    <row r="11" spans="1:5" x14ac:dyDescent="0.25">
      <c r="A11" s="6" t="s">
        <v>266</v>
      </c>
      <c r="B11" s="3">
        <v>4973283</v>
      </c>
      <c r="C11" s="3">
        <v>15180714000287</v>
      </c>
      <c r="D11" s="48" t="s">
        <v>275</v>
      </c>
      <c r="E11" s="48">
        <v>150</v>
      </c>
    </row>
    <row r="12" spans="1:5" x14ac:dyDescent="0.25">
      <c r="A12" s="5" t="s">
        <v>267</v>
      </c>
      <c r="B12" s="4">
        <v>4973259</v>
      </c>
      <c r="C12" s="3">
        <v>15180714000287</v>
      </c>
      <c r="D12" s="49" t="s">
        <v>276</v>
      </c>
      <c r="E12" s="49">
        <v>75</v>
      </c>
    </row>
    <row r="13" spans="1:5" x14ac:dyDescent="0.25">
      <c r="A13" s="6" t="s">
        <v>43</v>
      </c>
      <c r="B13" s="3">
        <v>3075001</v>
      </c>
      <c r="C13" s="3">
        <v>15180714000287</v>
      </c>
      <c r="D13" s="48" t="s">
        <v>272</v>
      </c>
      <c r="E13" s="48">
        <v>225</v>
      </c>
    </row>
    <row r="14" spans="1:5" x14ac:dyDescent="0.25">
      <c r="A14" s="5" t="s">
        <v>42</v>
      </c>
      <c r="B14" s="4">
        <v>4972660</v>
      </c>
      <c r="C14" s="3">
        <v>15180714000287</v>
      </c>
      <c r="D14" s="49" t="s">
        <v>277</v>
      </c>
      <c r="E14" s="49">
        <v>300</v>
      </c>
    </row>
    <row r="15" spans="1:5" x14ac:dyDescent="0.25">
      <c r="A15" s="6" t="s">
        <v>41</v>
      </c>
      <c r="B15" s="3">
        <v>4261178</v>
      </c>
      <c r="C15" s="3">
        <v>15180714000287</v>
      </c>
      <c r="D15" s="48" t="s">
        <v>270</v>
      </c>
      <c r="E15" s="48">
        <v>300</v>
      </c>
    </row>
    <row r="16" spans="1:5" x14ac:dyDescent="0.25">
      <c r="A16" s="5" t="s">
        <v>40</v>
      </c>
      <c r="B16" s="4">
        <v>4972902</v>
      </c>
      <c r="C16" s="3">
        <v>15180714000287</v>
      </c>
      <c r="D16" s="49" t="s">
        <v>275</v>
      </c>
      <c r="E16" s="49">
        <v>150</v>
      </c>
    </row>
    <row r="17" spans="1:5" x14ac:dyDescent="0.25">
      <c r="A17" s="6" t="s">
        <v>39</v>
      </c>
      <c r="B17" s="3">
        <v>30741781</v>
      </c>
      <c r="C17" s="3">
        <v>15180714000287</v>
      </c>
      <c r="D17" s="48" t="s">
        <v>278</v>
      </c>
      <c r="E17" s="48">
        <v>150</v>
      </c>
    </row>
    <row r="18" spans="1:5" x14ac:dyDescent="0.25">
      <c r="A18" s="5" t="s">
        <v>38</v>
      </c>
      <c r="B18" s="4">
        <v>4972899</v>
      </c>
      <c r="C18" s="3">
        <v>15180714000287</v>
      </c>
      <c r="D18" s="49" t="s">
        <v>279</v>
      </c>
      <c r="E18" s="49">
        <v>300</v>
      </c>
    </row>
    <row r="19" spans="1:5" x14ac:dyDescent="0.25">
      <c r="A19" s="6" t="s">
        <v>37</v>
      </c>
      <c r="B19" s="3">
        <v>201277388</v>
      </c>
      <c r="C19" s="3">
        <v>15180714000287</v>
      </c>
      <c r="D19" s="48" t="s">
        <v>277</v>
      </c>
      <c r="E19" s="48">
        <v>300</v>
      </c>
    </row>
    <row r="20" spans="1:5" x14ac:dyDescent="0.25">
      <c r="A20" s="5" t="s">
        <v>36</v>
      </c>
      <c r="B20" s="4">
        <v>4972856</v>
      </c>
      <c r="C20" s="3">
        <v>15180714000287</v>
      </c>
      <c r="D20" s="49" t="s">
        <v>280</v>
      </c>
      <c r="E20" s="49">
        <v>450</v>
      </c>
    </row>
    <row r="21" spans="1:5" x14ac:dyDescent="0.25">
      <c r="A21" s="6" t="s">
        <v>35</v>
      </c>
      <c r="B21" s="3">
        <v>70002680</v>
      </c>
      <c r="C21" s="3">
        <v>15180714000287</v>
      </c>
      <c r="D21" s="48" t="s">
        <v>281</v>
      </c>
      <c r="E21" s="48">
        <v>2450</v>
      </c>
    </row>
    <row r="22" spans="1:5" x14ac:dyDescent="0.25">
      <c r="A22" s="5" t="s">
        <v>34</v>
      </c>
      <c r="B22" s="4">
        <v>4972953</v>
      </c>
      <c r="C22" s="3">
        <v>15180714000287</v>
      </c>
      <c r="D22" s="49" t="s">
        <v>282</v>
      </c>
      <c r="E22" s="49">
        <v>500</v>
      </c>
    </row>
    <row r="23" spans="1:5" x14ac:dyDescent="0.25">
      <c r="A23" s="6" t="s">
        <v>33</v>
      </c>
      <c r="B23" s="3">
        <v>4973313</v>
      </c>
      <c r="C23" s="3">
        <v>15180714000287</v>
      </c>
      <c r="D23" s="48" t="s">
        <v>283</v>
      </c>
      <c r="E23" s="48">
        <v>450</v>
      </c>
    </row>
    <row r="24" spans="1:5" x14ac:dyDescent="0.25">
      <c r="A24" s="5" t="s">
        <v>32</v>
      </c>
      <c r="B24" s="4">
        <v>4972864</v>
      </c>
      <c r="C24" s="3">
        <v>15180714000287</v>
      </c>
      <c r="D24" s="49" t="s">
        <v>284</v>
      </c>
      <c r="E24" s="49">
        <v>525</v>
      </c>
    </row>
    <row r="25" spans="1:5" x14ac:dyDescent="0.25">
      <c r="A25" s="6" t="s">
        <v>31</v>
      </c>
      <c r="B25" s="3">
        <v>4973305</v>
      </c>
      <c r="C25" s="3">
        <v>15180714000287</v>
      </c>
      <c r="D25" s="48" t="s">
        <v>285</v>
      </c>
      <c r="E25" s="48">
        <v>300</v>
      </c>
    </row>
    <row r="26" spans="1:5" x14ac:dyDescent="0.25">
      <c r="A26" s="5" t="s">
        <v>30</v>
      </c>
      <c r="B26" s="4">
        <v>4973275</v>
      </c>
      <c r="C26" s="3">
        <v>15180714000287</v>
      </c>
      <c r="D26" s="49" t="s">
        <v>285</v>
      </c>
      <c r="E26" s="49">
        <v>300</v>
      </c>
    </row>
    <row r="27" spans="1:5" x14ac:dyDescent="0.25">
      <c r="A27" s="6" t="s">
        <v>29</v>
      </c>
      <c r="B27" s="3">
        <v>4973267</v>
      </c>
      <c r="C27" s="3">
        <v>15180714000287</v>
      </c>
      <c r="D27" s="48" t="s">
        <v>286</v>
      </c>
      <c r="E27" s="48">
        <v>675</v>
      </c>
    </row>
    <row r="28" spans="1:5" x14ac:dyDescent="0.25">
      <c r="A28" s="5" t="s">
        <v>28</v>
      </c>
      <c r="B28" s="4">
        <v>23895900</v>
      </c>
      <c r="C28" s="3">
        <v>15180714000287</v>
      </c>
      <c r="D28" s="49" t="s">
        <v>278</v>
      </c>
      <c r="E28" s="49">
        <v>150</v>
      </c>
    </row>
    <row r="29" spans="1:5" x14ac:dyDescent="0.25">
      <c r="A29" s="6" t="s">
        <v>27</v>
      </c>
      <c r="B29" s="3">
        <v>4973291</v>
      </c>
      <c r="C29" s="3">
        <v>15180714000287</v>
      </c>
      <c r="D29" s="48" t="s">
        <v>287</v>
      </c>
      <c r="E29" s="48">
        <v>600</v>
      </c>
    </row>
    <row r="30" spans="1:5" x14ac:dyDescent="0.25">
      <c r="A30" s="5" t="s">
        <v>26</v>
      </c>
      <c r="B30" s="4">
        <v>3665372</v>
      </c>
      <c r="C30" s="3">
        <v>15180714000287</v>
      </c>
      <c r="D30" s="49" t="s">
        <v>288</v>
      </c>
      <c r="E30" s="49">
        <v>600</v>
      </c>
    </row>
    <row r="31" spans="1:5" x14ac:dyDescent="0.25">
      <c r="A31" s="6" t="s">
        <v>25</v>
      </c>
      <c r="B31" s="3">
        <v>1324560</v>
      </c>
      <c r="C31" s="3">
        <v>15180714000287</v>
      </c>
      <c r="D31" s="48" t="s">
        <v>289</v>
      </c>
      <c r="E31" s="48">
        <v>112.5</v>
      </c>
    </row>
    <row r="32" spans="1:5" x14ac:dyDescent="0.25">
      <c r="A32" s="5" t="s">
        <v>24</v>
      </c>
      <c r="B32" s="4">
        <v>208844067</v>
      </c>
      <c r="C32" s="3">
        <v>15180714000287</v>
      </c>
      <c r="D32" s="49" t="s">
        <v>272</v>
      </c>
      <c r="E32" s="49">
        <v>225</v>
      </c>
    </row>
    <row r="33" spans="1:5" x14ac:dyDescent="0.25">
      <c r="A33" s="6" t="s">
        <v>23</v>
      </c>
      <c r="B33" s="3">
        <v>4972694</v>
      </c>
      <c r="C33" s="3">
        <v>15180714000287</v>
      </c>
      <c r="D33" s="48" t="s">
        <v>290</v>
      </c>
      <c r="E33" s="48">
        <v>375</v>
      </c>
    </row>
    <row r="34" spans="1:5" ht="30" x14ac:dyDescent="0.25">
      <c r="A34" s="5" t="s">
        <v>22</v>
      </c>
      <c r="B34" s="4">
        <v>4972945</v>
      </c>
      <c r="C34" s="3">
        <v>15180714000287</v>
      </c>
      <c r="D34" s="49" t="s">
        <v>291</v>
      </c>
      <c r="E34" s="49">
        <v>337.5</v>
      </c>
    </row>
    <row r="35" spans="1:5" x14ac:dyDescent="0.25">
      <c r="A35" s="6" t="s">
        <v>21</v>
      </c>
      <c r="B35" s="3">
        <v>2425874</v>
      </c>
      <c r="C35" s="3">
        <v>15180714000287</v>
      </c>
      <c r="D35" s="48" t="s">
        <v>278</v>
      </c>
      <c r="E35" s="48">
        <v>150</v>
      </c>
    </row>
    <row r="36" spans="1:5" x14ac:dyDescent="0.25">
      <c r="A36" s="5" t="s">
        <v>20</v>
      </c>
      <c r="B36" s="4">
        <v>4973240</v>
      </c>
      <c r="C36" s="3">
        <v>15180714000287</v>
      </c>
      <c r="D36" s="49" t="s">
        <v>276</v>
      </c>
      <c r="E36" s="49">
        <v>75</v>
      </c>
    </row>
    <row r="37" spans="1:5" x14ac:dyDescent="0.25">
      <c r="A37" s="6" t="s">
        <v>19</v>
      </c>
      <c r="B37" s="3">
        <v>4972716</v>
      </c>
      <c r="C37" s="3">
        <v>15180714000287</v>
      </c>
      <c r="D37" s="48" t="s">
        <v>278</v>
      </c>
      <c r="E37" s="48">
        <v>150</v>
      </c>
    </row>
    <row r="38" spans="1:5" x14ac:dyDescent="0.25">
      <c r="A38" s="5" t="s">
        <v>18</v>
      </c>
      <c r="B38" s="4">
        <v>8797900</v>
      </c>
      <c r="C38" s="3">
        <v>15180714000287</v>
      </c>
      <c r="D38" s="49" t="s">
        <v>275</v>
      </c>
      <c r="E38" s="49">
        <v>150</v>
      </c>
    </row>
    <row r="39" spans="1:5" x14ac:dyDescent="0.25">
      <c r="A39" s="6" t="s">
        <v>17</v>
      </c>
      <c r="B39" s="3">
        <v>212689475</v>
      </c>
      <c r="C39" s="3">
        <v>15180714000287</v>
      </c>
      <c r="D39" s="48" t="s">
        <v>278</v>
      </c>
      <c r="E39" s="48">
        <v>150</v>
      </c>
    </row>
    <row r="40" spans="1:5" x14ac:dyDescent="0.25">
      <c r="A40" s="5" t="s">
        <v>16</v>
      </c>
      <c r="B40" s="4">
        <v>23201135</v>
      </c>
      <c r="C40" s="3">
        <v>15180714000287</v>
      </c>
      <c r="D40" s="49" t="s">
        <v>272</v>
      </c>
      <c r="E40" s="49">
        <v>225</v>
      </c>
    </row>
    <row r="41" spans="1:5" x14ac:dyDescent="0.25">
      <c r="A41" s="6" t="s">
        <v>15</v>
      </c>
      <c r="B41" s="8">
        <v>218913180</v>
      </c>
      <c r="C41" s="3">
        <v>15180714000287</v>
      </c>
      <c r="D41" s="48" t="s">
        <v>278</v>
      </c>
      <c r="E41" s="48">
        <v>150</v>
      </c>
    </row>
    <row r="42" spans="1:5" x14ac:dyDescent="0.25">
      <c r="A42" s="5" t="s">
        <v>14</v>
      </c>
      <c r="B42" s="4">
        <v>227223200</v>
      </c>
      <c r="C42" s="3">
        <v>15180714000287</v>
      </c>
      <c r="D42" s="49" t="s">
        <v>292</v>
      </c>
      <c r="E42" s="49">
        <v>675</v>
      </c>
    </row>
    <row r="43" spans="1:5" x14ac:dyDescent="0.25">
      <c r="A43" s="6" t="s">
        <v>13</v>
      </c>
      <c r="B43" s="3">
        <v>3617823</v>
      </c>
      <c r="C43" s="3">
        <v>15180714000287</v>
      </c>
      <c r="D43" s="48" t="s">
        <v>289</v>
      </c>
      <c r="E43" s="48">
        <v>112.5</v>
      </c>
    </row>
    <row r="44" spans="1:5" x14ac:dyDescent="0.25">
      <c r="A44" s="5" t="s">
        <v>12</v>
      </c>
      <c r="B44" s="7">
        <v>7000425138</v>
      </c>
      <c r="C44" s="3">
        <v>15180714000287</v>
      </c>
      <c r="D44" s="49"/>
      <c r="E44" s="49"/>
    </row>
    <row r="45" spans="1:5" x14ac:dyDescent="0.25">
      <c r="A45" s="6" t="s">
        <v>11</v>
      </c>
      <c r="B45" s="3">
        <v>7006128879</v>
      </c>
      <c r="C45" s="3">
        <v>15180714000287</v>
      </c>
      <c r="D45" s="48" t="s">
        <v>277</v>
      </c>
      <c r="E45" s="48">
        <v>300</v>
      </c>
    </row>
    <row r="46" spans="1:5" x14ac:dyDescent="0.25">
      <c r="A46" s="5" t="s">
        <v>10</v>
      </c>
      <c r="B46" s="4">
        <v>7011609192</v>
      </c>
      <c r="C46" s="3">
        <v>15180714000287</v>
      </c>
      <c r="D46" s="49" t="s">
        <v>293</v>
      </c>
      <c r="E46" s="49">
        <v>337.5</v>
      </c>
    </row>
    <row r="47" spans="1:5" x14ac:dyDescent="0.25">
      <c r="A47" s="6" t="s">
        <v>9</v>
      </c>
      <c r="B47" s="3">
        <v>7011472073</v>
      </c>
      <c r="C47" s="3">
        <v>15180714000287</v>
      </c>
      <c r="D47" s="48" t="s">
        <v>289</v>
      </c>
      <c r="E47" s="48">
        <v>112.5</v>
      </c>
    </row>
    <row r="48" spans="1:5" x14ac:dyDescent="0.25">
      <c r="A48" s="5" t="s">
        <v>8</v>
      </c>
      <c r="B48" s="4">
        <v>3617971</v>
      </c>
      <c r="C48" s="3">
        <v>15180714000287</v>
      </c>
      <c r="D48" s="49"/>
      <c r="E48" s="49"/>
    </row>
    <row r="49" spans="1:5" x14ac:dyDescent="0.25">
      <c r="A49" s="6" t="s">
        <v>7</v>
      </c>
      <c r="B49" s="3">
        <v>7014353415</v>
      </c>
      <c r="C49" s="3">
        <v>15180714000287</v>
      </c>
      <c r="D49" s="48" t="s">
        <v>277</v>
      </c>
      <c r="E49" s="48">
        <v>300</v>
      </c>
    </row>
    <row r="50" spans="1:5" x14ac:dyDescent="0.25">
      <c r="A50" s="5" t="s">
        <v>6</v>
      </c>
      <c r="B50" s="4">
        <v>7011163410</v>
      </c>
      <c r="C50" s="3">
        <v>15180714000287</v>
      </c>
      <c r="D50" s="49" t="s">
        <v>272</v>
      </c>
      <c r="E50" s="49">
        <v>225</v>
      </c>
    </row>
    <row r="51" spans="1:5" x14ac:dyDescent="0.25">
      <c r="A51" s="6" t="s">
        <v>5</v>
      </c>
      <c r="B51" s="3">
        <v>7016184823</v>
      </c>
      <c r="C51" s="3">
        <v>15180714000287</v>
      </c>
      <c r="D51" s="48" t="s">
        <v>277</v>
      </c>
      <c r="E51" s="48">
        <v>300</v>
      </c>
    </row>
    <row r="52" spans="1:5" x14ac:dyDescent="0.25">
      <c r="A52" s="5" t="s">
        <v>4</v>
      </c>
      <c r="B52" s="4">
        <v>7021860683</v>
      </c>
      <c r="C52" s="3">
        <v>15180714000287</v>
      </c>
      <c r="D52" s="49"/>
      <c r="E52" s="49"/>
    </row>
    <row r="53" spans="1:5" x14ac:dyDescent="0.25">
      <c r="A53" s="6" t="s">
        <v>3</v>
      </c>
      <c r="B53" s="3">
        <v>16117528</v>
      </c>
      <c r="C53" s="3">
        <v>15180714000287</v>
      </c>
      <c r="D53" s="48" t="s">
        <v>294</v>
      </c>
      <c r="E53" s="48" t="s">
        <v>294</v>
      </c>
    </row>
    <row r="54" spans="1:5" x14ac:dyDescent="0.25">
      <c r="A54" s="5" t="s">
        <v>2</v>
      </c>
      <c r="B54" s="4">
        <v>7023565670</v>
      </c>
      <c r="C54" s="3">
        <v>15180714000287</v>
      </c>
      <c r="D54" s="49" t="s">
        <v>294</v>
      </c>
      <c r="E54" s="49" t="s">
        <v>294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INPUT</vt:lpstr>
      <vt:lpstr>OUTPUT</vt:lpstr>
      <vt:lpstr>CONTA CONTRATO e NOME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2016-02-23T17:05:14Z</dcterms:modified>
</cp:coreProperties>
</file>