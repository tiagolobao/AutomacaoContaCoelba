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EstaPasta_de_trabalho" defaultThemeVersion="124226"/>
  <bookViews>
    <workbookView xWindow="240" yWindow="105" windowWidth="14805" windowHeight="8010" activeTab="2"/>
  </bookViews>
  <sheets>
    <sheet name="INPUT" sheetId="1" r:id="rId1"/>
    <sheet name="OUTPUT" sheetId="2" r:id="rId2"/>
    <sheet name="CONTA CONTRATO e NOME" sheetId="4" r:id="rId3"/>
  </sheets>
  <functionGroups builtInGroupCount="17"/>
  <definedNames>
    <definedName name="_xlnm._FilterDatabase" localSheetId="2" hidden="1">'CONTA CONTRATO e NOME'!$A$2:$C$39</definedName>
  </definedNames>
  <calcPr calcId="144525"/>
</workbook>
</file>

<file path=xl/calcChain.xml><?xml version="1.0" encoding="utf-8"?>
<calcChain xmlns="http://schemas.openxmlformats.org/spreadsheetml/2006/main">
  <c r="D3" i="2" l="1"/>
  <c r="N17" i="2"/>
  <c r="N19" i="2"/>
  <c r="N20" i="2"/>
  <c r="N18" i="2"/>
  <c r="N16" i="2"/>
  <c r="N3" i="2" l="1"/>
  <c r="R3" i="2"/>
  <c r="Q3" i="2" l="1"/>
  <c r="S3" i="2" s="1"/>
  <c r="T3" i="2"/>
  <c r="P3" i="2"/>
  <c r="O3" i="2"/>
  <c r="H3" i="2" l="1"/>
  <c r="S9" i="2"/>
  <c r="N9" i="2"/>
  <c r="K9" i="2"/>
  <c r="I9" i="2"/>
  <c r="U3" i="2"/>
  <c r="L3" i="2"/>
  <c r="M3" i="2"/>
  <c r="I3" i="2"/>
  <c r="F3" i="2" l="1"/>
  <c r="E3" i="2" l="1"/>
  <c r="G3" i="2"/>
</calcChain>
</file>

<file path=xl/comments1.xml><?xml version="1.0" encoding="utf-8"?>
<comments xmlns="http://schemas.openxmlformats.org/spreadsheetml/2006/main">
  <authors>
    <author>Autor</author>
  </authors>
  <commentList>
    <comment ref="A3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Tarifa Comercial</t>
        </r>
      </text>
    </comment>
    <comment ref="A3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Tarifa Comercial</t>
        </r>
      </text>
    </comment>
    <comment ref="A3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Tarifa Comercial</t>
        </r>
      </text>
    </comment>
    <comment ref="A3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Tarifa Comercial</t>
        </r>
      </text>
    </comment>
  </commentList>
</comments>
</file>

<file path=xl/sharedStrings.xml><?xml version="1.0" encoding="utf-8"?>
<sst xmlns="http://schemas.openxmlformats.org/spreadsheetml/2006/main" count="267" uniqueCount="236">
  <si>
    <t>COLE AO LADO=&gt;</t>
  </si>
  <si>
    <t>UFBA - ESCOLA DE MEDICINA VETERINARIA - SÃO GONCALO DOS CAMPOS</t>
  </si>
  <si>
    <t>CNPJ</t>
  </si>
  <si>
    <t>CONTA CONTRATO</t>
  </si>
  <si>
    <t>UNIDADE</t>
  </si>
  <si>
    <t>Site 2ª Via</t>
  </si>
  <si>
    <t>http://servicos.coelba.com.br/Pages/Default.aspx</t>
  </si>
  <si>
    <t>OBS: Abrir em página anônima</t>
  </si>
  <si>
    <t>COMPANHIA DE ELETRICIDADE</t>
  </si>
  <si>
    <t>DO ESTADO DA BAHIA</t>
  </si>
  <si>
    <t>AV.EDGARD SANTOS, 300,</t>
  </si>
  <si>
    <t>CABULA VI, SALVADOR, BAHIA</t>
  </si>
  <si>
    <t>COELBA 0800 071 0800</t>
  </si>
  <si>
    <t>DADOS DO CLIENTE</t>
  </si>
  <si>
    <t>UNIVERSIDADE FEDERAL DA BAHIA</t>
  </si>
  <si>
    <t>DATA DE VENCIMENTO</t>
  </si>
  <si>
    <t>TOTAL A PAGAR (R$)</t>
  </si>
  <si>
    <t>DATA DA APRESENTAÇÃO</t>
  </si>
  <si>
    <t>NÚMERO DA NOTA FISCAL</t>
  </si>
  <si>
    <t>Nº DO CLIENTE</t>
  </si>
  <si>
    <t>Nº DA INSTALAÇÃO</t>
  </si>
  <si>
    <t>RESERVADO AO FISCO</t>
  </si>
  <si>
    <t>CLASSIFICAÇÃO</t>
  </si>
  <si>
    <t>INFORMAÇÕES DE TRIBUTOS</t>
  </si>
  <si>
    <t>ICMS PIS COFINS</t>
  </si>
  <si>
    <t>DEMONSTRATIVO DE CONSUMO DESTA NOTA FISCAL</t>
  </si>
  <si>
    <t>Na data da leitura a bandeira em vigor é a Vermelha. Mais informações em www.aneel.gov.br.</t>
  </si>
  <si>
    <t>O cliente é compensado quando há violação na continuidade individual ou do nível de tensão de fornecimento.</t>
  </si>
  <si>
    <t>O Cliente é compensado quando há descumprimento do prazo definido para os padrões de atendimento comercial.</t>
  </si>
  <si>
    <t>Esta Nota Fiscal faz parte do Doc. Pgto. nº 610047044002 da Conta Contrato Coletiva nº 6132000016.</t>
  </si>
  <si>
    <t>DURAÇÃO E FREQUÊNCIA DAS INTERRUPÇÕES</t>
  </si>
  <si>
    <t>NÍVEIS DE TENSÃO</t>
  </si>
  <si>
    <t>MÍNIMO MÁXIMO</t>
  </si>
  <si>
    <t>INICIO DO CICLO</t>
  </si>
  <si>
    <t>FINAL DO CICLO</t>
  </si>
  <si>
    <t>Nº DE DIAS</t>
  </si>
  <si>
    <t>Códigos VBA</t>
  </si>
  <si>
    <t>Inverer celula</t>
  </si>
  <si>
    <t>Arrumar texto de data (de 110116 para 11/01/2016)</t>
  </si>
  <si>
    <t xml:space="preserve">Function INVERTER(inverte As Variant) As String
Dim txt As String
For i = 0 To Len(inverte) - 1
txt = txt &amp; Mid(CStr(inverte), Len(CStr(inverte)) - i, 1)
Next
inverter = txt
End Function
 </t>
  </si>
  <si>
    <t>Function DATAR(entrada As Variant) As String
Dim txt As String
txt = txt &amp; Mid(CStr(entrada), 1, 1)
txt = txt &amp; Mid(CStr(entrada), 2, 1)
txt = txt &amp; "/"
txt = txt &amp; Mid(CStr(entrada), 3, 1)
txt = txt &amp; Mid(CStr(entrada), 4, 1)
txt = txt &amp; "/"
txt = txt &amp; "2"
txt = txt &amp; "0"
txt = txt &amp; Mid(CStr(entrada), 5, 1)
txt = txt &amp; Mid(CStr(entrada), 6, 1)
datar = txt
End Function</t>
  </si>
  <si>
    <t>Ctrl+Shift+A</t>
  </si>
  <si>
    <t>Ctrl+Shift+C</t>
  </si>
  <si>
    <t>153817_RESIDENCIA UNIV 2 R2 SET 0002372347</t>
  </si>
  <si>
    <t>0002372347</t>
  </si>
  <si>
    <t>153848_ESCOLA DE MED.VETERINARIA,705 0003598276</t>
  </si>
  <si>
    <t>153837_ESCOLA DE BELAS ARTES 0003616940</t>
  </si>
  <si>
    <t>UFBA - PROAE</t>
  </si>
  <si>
    <t>INSTITUTO DE CIÊNCIA DA INFORMAÇÃO</t>
  </si>
  <si>
    <t>UFBA-SERVIÇO DE SELEÇÃO,36</t>
  </si>
  <si>
    <t>UFBA - ANTIGA EDUFBA - SERVIÇO DE SELEÇÃO</t>
  </si>
  <si>
    <t>UFBA-RESIDENCIA R3(DESAT)_FARM_ESCOLA(ATIVA)</t>
  </si>
  <si>
    <t>153817_SUP ESTUDANTIL CASA 280 CPPD 0003619664</t>
  </si>
  <si>
    <t>0003619664</t>
  </si>
  <si>
    <t>UFBA-SERVIÇO DE SELEÇÃO,296</t>
  </si>
  <si>
    <t>0003619672</t>
  </si>
  <si>
    <t>153851_APUB-ASS.PROF.UNIV.BA GAB REITOR 0003630811</t>
  </si>
  <si>
    <t>0003630811</t>
  </si>
  <si>
    <t>153851_ESCOLA DE DANÇA -CANELA CRECHE 0003630854</t>
  </si>
  <si>
    <t>0003630854</t>
  </si>
  <si>
    <t>153813_DCE-DIR C ESTUDANTIL GAB REITOR 0004181603</t>
  </si>
  <si>
    <t>0004181603</t>
  </si>
  <si>
    <t>153856_CEAO-GARCIA COORD CENTRAL EXTENSÃO 0004242327</t>
  </si>
  <si>
    <t>153848_ESCOLA DE MED.VETERINARIA,StoAm 0010806810</t>
  </si>
  <si>
    <t>0010806810</t>
  </si>
  <si>
    <t>153848_FAZ.REG. ENTRE RIOS MEV 0011018130</t>
  </si>
  <si>
    <t>0011018130</t>
  </si>
  <si>
    <t>153848_CDP O CAMP Administração MEV 0014201653</t>
  </si>
  <si>
    <t>0014201653</t>
  </si>
  <si>
    <t>153819_PRPPG 0015684526</t>
  </si>
  <si>
    <t>0015684526</t>
  </si>
  <si>
    <t>153848_ESC MEV CDP_REFEITÓRIO 0027048730</t>
  </si>
  <si>
    <t>0027048730</t>
  </si>
  <si>
    <t>153848_BIOTERIO MEV 0027893872</t>
  </si>
  <si>
    <t>0027893872</t>
  </si>
  <si>
    <t>153847_CEEF_FACED AVN OCEANICA 0206108355</t>
  </si>
  <si>
    <t>0206108355</t>
  </si>
  <si>
    <t>153856_CEAO 0000742465</t>
  </si>
  <si>
    <t>0000742465</t>
  </si>
  <si>
    <t>153848_CENTRO DESENV PECUÁRIA O CAMP MEV_CDP 0211721529</t>
  </si>
  <si>
    <t>0211721529</t>
  </si>
  <si>
    <t>EM FRENTE AO DCE UFBA 0004179927</t>
  </si>
  <si>
    <t>0004179927</t>
  </si>
  <si>
    <t xml:space="preserve">INSTITUTO ELSA </t>
  </si>
  <si>
    <t>0003618897</t>
  </si>
  <si>
    <t>GALPÃO 7006475331</t>
  </si>
  <si>
    <t>7006475331</t>
  </si>
  <si>
    <t>CASA 47/HUPES - RUA PADRE FEIJÓ 312</t>
  </si>
  <si>
    <t>7009604094</t>
  </si>
  <si>
    <t>UFBA - SIUNS</t>
  </si>
  <si>
    <t>7009832259</t>
  </si>
  <si>
    <t>UFBA - BARREIRAS_PRAINHA 0222784026</t>
  </si>
  <si>
    <t>TECNOCENTRO PARALELA</t>
  </si>
  <si>
    <t>7016941390</t>
  </si>
  <si>
    <t>TECNOCENTRO PARALELA2</t>
  </si>
  <si>
    <t>7016942027</t>
  </si>
  <si>
    <t>TECNOCENTRO PARALELA3</t>
  </si>
  <si>
    <t>7016942175</t>
  </si>
  <si>
    <t>CEAO-CARLOS GOMES</t>
  </si>
  <si>
    <t>VITÓRIA DA CONQUISTA /BAIRRO  RECREIO</t>
  </si>
  <si>
    <t>RUA DO LIMOEIRO, 106</t>
  </si>
  <si>
    <t>Nº de Fases</t>
  </si>
  <si>
    <t xml:space="preserve"> Valor Real(R$) da Fatura </t>
  </si>
  <si>
    <t>CAT           (kWh)</t>
  </si>
  <si>
    <t>CAT     (kWh)(R$)</t>
  </si>
  <si>
    <t>CRE    (KVAhex)</t>
  </si>
  <si>
    <t>CRE (R$)</t>
  </si>
  <si>
    <t>Contrib. Ilum. Pública (R$)</t>
  </si>
  <si>
    <t>Tributo Federal         (R$)</t>
  </si>
  <si>
    <t xml:space="preserve"> Juros + Multa por Atraso </t>
  </si>
  <si>
    <t xml:space="preserve"> Interrupção de Energia (R$) </t>
  </si>
  <si>
    <t>CRT    (KVAh)</t>
  </si>
  <si>
    <t>Nº Medidor</t>
  </si>
  <si>
    <t>Acréscimo Bandeira Vermelha</t>
  </si>
  <si>
    <t>Trifásico</t>
  </si>
  <si>
    <t>23/02/2016 2a Via de Fatura</t>
  </si>
  <si>
    <t>NOTA FISCAL | FATURA | CONTA DE ENERGIA ELÉTRICA 2a VIA</t>
  </si>
  <si>
    <t>CEP 41181900</t>
  </si>
  <si>
    <t>CNPJ 15.139.629/000194</t>
  </si>
  <si>
    <t>INSCRIÇÃO ESTADUAL 00478696NO www.coelba.com.br</t>
  </si>
  <si>
    <t>Tarifa Social de Energia Elétrica Lei</t>
  </si>
  <si>
    <t>10.438, de 26/04/02</t>
  </si>
  <si>
    <t>Atendimento ao deficiente auditivo ou de fala: 0800 281 0142</t>
  </si>
  <si>
    <t>Ouvidoria 0800 071 7676 / SMS Falta de Energia: 27308</t>
  </si>
  <si>
    <t>Agência Nacional de Energia Elétrica ANEEL</t>
  </si>
  <si>
    <t>167 Ligação</t>
  </si>
  <si>
    <t>Gratuita de telefones fixos e móveis</t>
  </si>
  <si>
    <t>153817 RESIDENCIA</t>
  </si>
  <si>
    <t>UNIV 2 SET</t>
  </si>
  <si>
    <t>CNPJ: 15.180.714/000287</t>
  </si>
  <si>
    <t>ENDEREÇO DA UNIDADE CONSUMIDORA</t>
  </si>
  <si>
    <t>LG DA VITORIA 46</t>
  </si>
  <si>
    <t>VITORIA/SALVADOR</t>
  </si>
  <si>
    <t>SALVADOR BA</t>
  </si>
  <si>
    <t>As condições gerais de fornecimento (Resolução ANEEL 414/2010),</t>
  </si>
  <si>
    <t>tarifas, produtos, serviços prestados e tributos se encontram à</t>
  </si>
  <si>
    <t>disposição, para consulta em nossas unidades de atendimento e no</t>
  </si>
  <si>
    <t>site www.coelba.com.br</t>
  </si>
  <si>
    <t>DATA EMISSÃO DA NOTA FISCAL</t>
  </si>
  <si>
    <t>B3 PODER PUBLICO FEDERAL</t>
  </si>
  <si>
    <t>0843.09D0.8F8D.40A5.A1FA.CCC9.8C1A.E6DD</t>
  </si>
  <si>
    <t>DESCRIÇÃO DA NOTA FISCAL</t>
  </si>
  <si>
    <t>DESCRIÇÃO QUANTIDADE PREÇO VALOR (R$)</t>
  </si>
  <si>
    <t>Consumo Ativo(kWh) 1.387,00 0,49943 692,71</t>
  </si>
  <si>
    <t>Acréscimo Bandeira VERMELHA 80,25</t>
  </si>
  <si>
    <t>Contribuição Iluminação Pública 60,10</t>
  </si>
  <si>
    <t>Juros COSIPDecreto</t>
  </si>
  <si>
    <t>24056/2013 1,47</t>
  </si>
  <si>
    <t>Multa COSIPDecreto</t>
  </si>
  <si>
    <t>24056/2013 11,06</t>
  </si>
  <si>
    <t>IPCA COSIPDecreto</t>
  </si>
  <si>
    <t>24056/2013 1,31</t>
  </si>
  <si>
    <t>Multa por atrasoNF</t>
  </si>
  <si>
    <t>103084435 27/</t>
  </si>
  <si>
    <t>08/15 14,01</t>
  </si>
  <si>
    <t>Juros por atrasoNF</t>
  </si>
  <si>
    <t>08/15 18,45</t>
  </si>
  <si>
    <t>Tributo Federal 47,06TOTAL</t>
  </si>
  <si>
    <t>DA FATURA 832,30</t>
  </si>
  <si>
    <t>BASE DE</t>
  </si>
  <si>
    <t>CÁLCULO % VALOR DO</t>
  </si>
  <si>
    <t>IMPOSTO</t>
  </si>
  <si>
    <t>525,61 27,00 141,91 772,96 0,69 5,33 772,96 3,19 24,65</t>
  </si>
  <si>
    <t>Tarifas Aplicadas</t>
  </si>
  <si>
    <t>Consumo Ativo(kWh) 0,38836000</t>
  </si>
  <si>
    <t>HISTÓRICO DO CONSUMO</t>
  </si>
  <si>
    <t>kWh</t>
  </si>
  <si>
    <t>DEZ 15 |||||||||||||||||||||||||||||||||||| 1387</t>
  </si>
  <si>
    <t>NOV 15 |||||||||||||||||||||||||||||||||||||| 1454</t>
  </si>
  <si>
    <t>OUT 15 |||||||||||||||||||||||||||||||| 1236</t>
  </si>
  <si>
    <t>SET 15 |||||||||||||||||||||||||||||||||||| 1375</t>
  </si>
  <si>
    <t>AGO 15 ||||||||||||||||||||||||||||||||| 1248</t>
  </si>
  <si>
    <t>JUL 15 ||||||||||||||||||||||||||||| 1110</t>
  </si>
  <si>
    <t>JUN 15 ||||||||||||||||||||||||||||||| 1195</t>
  </si>
  <si>
    <t>MAI 15 |||||||||||||||||||||||||||||||||||||| 1428</t>
  </si>
  <si>
    <t>ABR 15 |||||||||||||||||||||||||||||||||||| 1375</t>
  </si>
  <si>
    <t>MAR 15 |||||||||||||||||||||||||||||||||||||| 1447</t>
  </si>
  <si>
    <t>FEV 15 ||||||||||||||||||||||||||||||| 1175</t>
  </si>
  <si>
    <t>JAN 15 |||||||||||||||||||||||||||||||||| 1295</t>
  </si>
  <si>
    <t>DEZ 14 |||||||||||||||||||||||||||||||||||||||| 1510</t>
  </si>
  <si>
    <t>COMPOSIÇÃO DO CONSUMO</t>
  </si>
  <si>
    <t>R$ %</t>
  </si>
  <si>
    <t>Geração de Energia 326,68 42,26</t>
  </si>
  <si>
    <t>Transmissão 22,54 2,92</t>
  </si>
  <si>
    <t>Distribuição (Coelba) 192,40 24,89</t>
  </si>
  <si>
    <t>Encargos Setoriais 59,45 7,69</t>
  </si>
  <si>
    <t>Tributos 171,89 22,24</t>
  </si>
  <si>
    <t>TOTAL 772,96 100</t>
  </si>
  <si>
    <t>NÚMERO DO</t>
  </si>
  <si>
    <t>MEDIDOR</t>
  </si>
  <si>
    <t>TIPO DA</t>
  </si>
  <si>
    <t>FUNÇÃO</t>
  </si>
  <si>
    <t>ANTERIOR ATUAL Nº</t>
  </si>
  <si>
    <t>DIAS CONSTANTE AJUSTE CONSUMO</t>
  </si>
  <si>
    <t>DATA LEITURA DATA LEITURA kWh</t>
  </si>
  <si>
    <t>000000000031427576 CAT 27/11/2015 16.750,00 29/12/2015 18.137,00 32 1,00000 0,00 1.387,00</t>
  </si>
  <si>
    <t>DATA PREVISTA PARA A PRÓXIMA LEITURA: 28/01/2016</t>
  </si>
  <si>
    <t>DESCRIÇÃO CONJUNTO VALOR</t>
  </si>
  <si>
    <t>APURADO</t>
  </si>
  <si>
    <t>META</t>
  </si>
  <si>
    <t>MENSAL</t>
  </si>
  <si>
    <t>TRIM.</t>
  </si>
  <si>
    <t>ANUAL</t>
  </si>
  <si>
    <t>DICNo.</t>
  </si>
  <si>
    <t>de horas sem Energia GRACA 0,00 4,71 9,43 18,86</t>
  </si>
  <si>
    <t>FICNo.</t>
  </si>
  <si>
    <t>de vezes sem Energia 0,00 3,11 6,22 12,45</t>
  </si>
  <si>
    <t>DMICDuração</t>
  </si>
  <si>
    <t>máxima de</t>
  </si>
  <si>
    <t>interrupção continua</t>
  </si>
  <si>
    <t>0,00 2,60 0,00 0,00</t>
  </si>
  <si>
    <t>DICRIDuração</t>
  </si>
  <si>
    <t>de</t>
  </si>
  <si>
    <t>interrupção em dia crítico</t>
  </si>
  <si>
    <t>Limite DICRI: 12,22</t>
  </si>
  <si>
    <t>EUSDValor</t>
  </si>
  <si>
    <t>do Encargo de Uso = R$ 288,30</t>
  </si>
  <si>
    <t>Todo Consumidor pode solicitar a apuração dos indicadores DIC, FIC, DMIC e DICRI a qualquer tempo.</t>
  </si>
  <si>
    <t>INFORMAÇÕES IMPORTANTES</t>
  </si>
  <si>
    <t>Pagamento em atraso gera: Multa 2%(Res. 414/ANEEL09/</t>
  </si>
  <si>
    <t>09/10) e Juros1%a.m.(Lei 10.43826/</t>
  </si>
  <si>
    <t>04/02), no próximo mês.</t>
  </si>
  <si>
    <t>Redução da Base de Cálculo do ICMS em 32% conforme Art. 80,II, a do RICMSBa.</t>
  </si>
  <si>
    <t>Acréscimos legais serão aplicados sobre a COSIP paga em atraso (decreto municipal Nº 24.056/2013 SEFAZ).</t>
  </si>
  <si>
    <t>TENSÃO NOMINAL(V) LIMITE DE VARIAÇÃO(V)</t>
  </si>
  <si>
    <t>127 117 133</t>
  </si>
  <si>
    <t>220 202 231</t>
  </si>
  <si>
    <t>AUTENTICAÇÃO MECÂNICA</t>
  </si>
  <si>
    <t>DESTAQUE AQUI</t>
  </si>
  <si>
    <t>MÊS/ANO</t>
  </si>
  <si>
    <t>TOTAL A PAGAR(R$)</t>
  </si>
  <si>
    <t>VENCIMENTO</t>
  </si>
  <si>
    <t>TALÃO DE PAGAMENTO</t>
  </si>
  <si>
    <t>Evite dobrar, perfurar ou rasurar.</t>
  </si>
  <si>
    <t>Este canhoto será usado em leitora ótica.</t>
  </si>
  <si>
    <t>838700000087 323000300002 002372347106 024823226031 AUTENTICAÇÃO MECÂNICA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</si>
</sst>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Fill="1" applyAlignment="1"/>
    <xf numFmtId="0" fontId="0" fillId="2" borderId="1" xfId="0" applyFill="1" applyBorder="1"/>
    <xf numFmtId="3" fontId="1" fillId="0" borderId="1" xfId="0" applyNumberFormat="1" applyFont="1" applyFill="1" applyBorder="1" applyAlignment="1">
      <alignment horizontal="center" vertical="center"/>
    </xf>
    <xf numFmtId="3" fontId="1" fillId="4" borderId="1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3" fontId="0" fillId="4" borderId="1" xfId="0" applyNumberFormat="1" applyFont="1" applyFill="1" applyBorder="1" applyAlignment="1">
      <alignment horizontal="center" vertical="center"/>
    </xf>
    <xf numFmtId="3" fontId="0" fillId="0" borderId="1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2" fillId="0" borderId="0" xfId="1"/>
    <xf numFmtId="3" fontId="1" fillId="5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17" fontId="3" fillId="0" borderId="1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3" fontId="1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44" fontId="6" fillId="0" borderId="0" xfId="2" applyFont="1" applyFill="1" applyBorder="1" applyAlignment="1">
      <alignment horizontal="center" vertical="center" wrapText="1"/>
    </xf>
    <xf numFmtId="4" fontId="0" fillId="0" borderId="0" xfId="0" applyNumberFormat="1" applyFill="1" applyBorder="1" applyAlignment="1">
      <alignment horizontal="center" vertical="center"/>
    </xf>
    <xf numFmtId="14" fontId="0" fillId="0" borderId="0" xfId="0" applyNumberFormat="1" applyFont="1" applyFill="1" applyBorder="1"/>
    <xf numFmtId="0" fontId="0" fillId="0" borderId="0" xfId="0" applyFill="1" applyBorder="1"/>
    <xf numFmtId="14" fontId="0" fillId="0" borderId="0" xfId="0" applyNumberFormat="1" applyFill="1" applyBorder="1"/>
    <xf numFmtId="44" fontId="4" fillId="0" borderId="0" xfId="2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17" fontId="3" fillId="0" borderId="0" xfId="0" applyNumberFormat="1" applyFont="1" applyFill="1" applyBorder="1" applyAlignment="1">
      <alignment horizontal="center" vertical="center"/>
    </xf>
    <xf numFmtId="44" fontId="6" fillId="0" borderId="0" xfId="2" applyFont="1" applyFill="1" applyBorder="1" applyAlignment="1" applyProtection="1">
      <alignment horizontal="center" vertical="center" wrapText="1"/>
    </xf>
    <xf numFmtId="14" fontId="0" fillId="4" borderId="1" xfId="0" applyNumberFormat="1" applyFill="1" applyBorder="1"/>
    <xf numFmtId="0" fontId="1" fillId="4" borderId="1" xfId="0" applyFont="1" applyFill="1" applyBorder="1" applyAlignment="1">
      <alignment horizontal="left"/>
    </xf>
    <xf numFmtId="14" fontId="0" fillId="0" borderId="1" xfId="0" applyNumberFormat="1" applyBorder="1"/>
    <xf numFmtId="17" fontId="0" fillId="0" borderId="0" xfId="0" applyNumberFormat="1" applyFill="1" applyBorder="1"/>
    <xf numFmtId="8" fontId="0" fillId="0" borderId="0" xfId="0" applyNumberFormat="1" applyFill="1" applyBorder="1"/>
    <xf numFmtId="17" fontId="3" fillId="0" borderId="6" xfId="0" applyNumberFormat="1" applyFont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17" fontId="3" fillId="0" borderId="1" xfId="0" applyNumberFormat="1" applyFont="1" applyFill="1" applyBorder="1" applyAlignment="1">
      <alignment horizontal="center" vertical="center"/>
    </xf>
    <xf numFmtId="17" fontId="4" fillId="0" borderId="1" xfId="0" applyNumberFormat="1" applyFont="1" applyBorder="1" applyAlignment="1">
      <alignment horizontal="center" vertical="center"/>
    </xf>
    <xf numFmtId="0" fontId="0" fillId="4" borderId="1" xfId="0" applyFill="1" applyBorder="1"/>
    <xf numFmtId="44" fontId="1" fillId="4" borderId="1" xfId="2" applyFont="1" applyFill="1" applyBorder="1"/>
    <xf numFmtId="44" fontId="0" fillId="4" borderId="1" xfId="2" applyFont="1" applyFill="1" applyBorder="1"/>
    <xf numFmtId="0" fontId="0" fillId="4" borderId="7" xfId="0" applyFill="1" applyBorder="1"/>
    <xf numFmtId="17" fontId="3" fillId="6" borderId="1" xfId="0" applyNumberFormat="1" applyFont="1" applyFill="1" applyBorder="1" applyAlignment="1">
      <alignment horizontal="center" vertical="center"/>
    </xf>
    <xf numFmtId="44" fontId="0" fillId="7" borderId="6" xfId="0" applyNumberFormat="1" applyFill="1" applyBorder="1"/>
    <xf numFmtId="0" fontId="4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17" fontId="3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3">
    <cellStyle name="Hiperlink" xfId="1" builtinId="8"/>
    <cellStyle name="Moeda" xfId="2" builtinId="4"/>
    <cellStyle name="Normal" xfId="0" builtinId="0"/>
  </cellStyles>
  <dxfs count="3"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1238250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click-me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28575</xdr:rowOff>
        </xdr:from>
        <xdr:to>
          <xdr:col>1</xdr:col>
          <xdr:colOff>1238250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ervicos.coelba.com.br/Pages/Default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http://servicos.coelba.com.br/Pages/Default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273"/>
  <sheetViews>
    <sheetView workbookViewId="0">
      <selection activeCell="A6" sqref="A6"/>
    </sheetView>
  </sheetViews>
  <sheetFormatPr defaultRowHeight="15" x14ac:dyDescent="0.25"/>
  <cols>
    <col min="1" max="1" width="45.85546875" customWidth="1"/>
    <col min="2" max="2" width="111.5703125" customWidth="1"/>
  </cols>
  <sheetData>
    <row r="1" spans="1:15" x14ac:dyDescent="0.25">
      <c r="A1" s="18">
        <v>2</v>
      </c>
      <c r="B1" s="19"/>
      <c r="C1" s="58"/>
      <c r="D1" s="58" t="s">
        <v>36</v>
      </c>
      <c r="E1" s="58"/>
      <c r="F1" s="58"/>
      <c r="G1" s="58"/>
      <c r="H1" s="58"/>
      <c r="I1" s="58"/>
      <c r="J1" s="1"/>
    </row>
    <row r="2" spans="1:15" x14ac:dyDescent="0.25">
      <c r="A2" s="20"/>
      <c r="B2" s="21"/>
      <c r="C2" s="58"/>
      <c r="D2" s="58"/>
      <c r="E2" s="58"/>
      <c r="F2" s="58"/>
      <c r="G2" s="58"/>
      <c r="H2" s="58"/>
      <c r="I2" s="58"/>
      <c r="J2" s="1"/>
    </row>
    <row r="3" spans="1:15" ht="15" customHeight="1" x14ac:dyDescent="0.25">
      <c r="A3" s="2" t="s">
        <v>0</v>
      </c>
      <c r="B3" s="12" t="s">
        <v>115</v>
      </c>
      <c r="C3" s="58"/>
      <c r="D3" s="61" t="s">
        <v>37</v>
      </c>
      <c r="E3" s="61"/>
      <c r="F3" s="61"/>
      <c r="G3" s="61"/>
      <c r="H3" s="61"/>
      <c r="I3" s="61"/>
    </row>
    <row r="4" spans="1:15" x14ac:dyDescent="0.25">
      <c r="B4" s="13" t="s">
        <v>116</v>
      </c>
      <c r="C4" s="58"/>
      <c r="D4" s="59" t="s">
        <v>39</v>
      </c>
      <c r="E4" s="60"/>
      <c r="F4" s="60"/>
      <c r="G4" s="60"/>
      <c r="H4" s="60"/>
      <c r="I4" s="60"/>
    </row>
    <row r="5" spans="1:15" x14ac:dyDescent="0.25">
      <c r="A5" t="s">
        <v>5</v>
      </c>
      <c r="B5" s="13" t="s">
        <v>8</v>
      </c>
      <c r="C5" s="58"/>
      <c r="D5" s="60"/>
      <c r="E5" s="60"/>
      <c r="F5" s="60"/>
      <c r="G5" s="60"/>
      <c r="H5" s="60"/>
      <c r="I5" s="60"/>
    </row>
    <row r="6" spans="1:15" x14ac:dyDescent="0.25">
      <c r="A6" s="10" t="s">
        <v>6</v>
      </c>
      <c r="B6" s="13" t="s">
        <v>9</v>
      </c>
      <c r="C6" s="58"/>
      <c r="D6" s="60"/>
      <c r="E6" s="60"/>
      <c r="F6" s="60"/>
      <c r="G6" s="60"/>
      <c r="H6" s="60"/>
      <c r="I6" s="60"/>
      <c r="O6">
        <v>0</v>
      </c>
    </row>
    <row r="7" spans="1:15" x14ac:dyDescent="0.25">
      <c r="A7" t="s">
        <v>7</v>
      </c>
      <c r="B7" s="13" t="s">
        <v>10</v>
      </c>
      <c r="C7" s="58"/>
      <c r="D7" s="60"/>
      <c r="E7" s="60"/>
      <c r="F7" s="60"/>
      <c r="G7" s="60"/>
      <c r="H7" s="60"/>
      <c r="I7" s="60"/>
    </row>
    <row r="8" spans="1:15" x14ac:dyDescent="0.25">
      <c r="B8" s="13" t="s">
        <v>11</v>
      </c>
      <c r="C8" s="58"/>
      <c r="D8" s="60"/>
      <c r="E8" s="60"/>
      <c r="F8" s="60"/>
      <c r="G8" s="60"/>
      <c r="H8" s="60"/>
      <c r="I8" s="60"/>
    </row>
    <row r="9" spans="1:15" x14ac:dyDescent="0.25">
      <c r="B9" s="13" t="s">
        <v>117</v>
      </c>
      <c r="C9" s="58"/>
      <c r="D9" s="60"/>
      <c r="E9" s="60"/>
      <c r="F9" s="60"/>
      <c r="G9" s="60"/>
      <c r="H9" s="60"/>
      <c r="I9" s="60"/>
    </row>
    <row r="10" spans="1:15" x14ac:dyDescent="0.25">
      <c r="B10" s="13" t="s">
        <v>118</v>
      </c>
      <c r="C10" s="58"/>
      <c r="D10" s="60"/>
      <c r="E10" s="60"/>
      <c r="F10" s="60"/>
      <c r="G10" s="60"/>
      <c r="H10" s="60"/>
      <c r="I10" s="60"/>
    </row>
    <row r="11" spans="1:15" x14ac:dyDescent="0.25">
      <c r="B11" s="13" t="s">
        <v>119</v>
      </c>
      <c r="C11" s="58"/>
      <c r="D11" s="60"/>
      <c r="E11" s="60"/>
      <c r="F11" s="60"/>
      <c r="G11" s="60"/>
      <c r="H11" s="60"/>
      <c r="I11" s="60"/>
    </row>
    <row r="12" spans="1:15" x14ac:dyDescent="0.25">
      <c r="B12" s="13" t="s">
        <v>120</v>
      </c>
      <c r="C12" s="58"/>
      <c r="D12" s="60"/>
      <c r="E12" s="60"/>
      <c r="F12" s="60"/>
      <c r="G12" s="60"/>
      <c r="H12" s="60"/>
      <c r="I12" s="60"/>
    </row>
    <row r="13" spans="1:15" ht="15" customHeight="1" x14ac:dyDescent="0.25">
      <c r="B13" s="13" t="s">
        <v>121</v>
      </c>
      <c r="C13" s="58"/>
      <c r="D13" s="60"/>
      <c r="E13" s="60"/>
      <c r="F13" s="60"/>
      <c r="G13" s="60"/>
      <c r="H13" s="60"/>
      <c r="I13" s="60"/>
    </row>
    <row r="14" spans="1:15" x14ac:dyDescent="0.25">
      <c r="B14" s="13" t="s">
        <v>12</v>
      </c>
      <c r="C14" s="58"/>
      <c r="D14" s="61" t="s">
        <v>38</v>
      </c>
      <c r="E14" s="61"/>
      <c r="F14" s="61"/>
      <c r="G14" s="61"/>
      <c r="H14" s="61"/>
      <c r="I14" s="61"/>
    </row>
    <row r="15" spans="1:15" ht="15" customHeight="1" x14ac:dyDescent="0.25">
      <c r="B15" s="13" t="s">
        <v>122</v>
      </c>
      <c r="C15" s="58"/>
      <c r="D15" s="59" t="s">
        <v>40</v>
      </c>
      <c r="E15" s="59"/>
      <c r="F15" s="59"/>
      <c r="G15" s="59"/>
      <c r="H15" s="59"/>
      <c r="I15" s="59"/>
    </row>
    <row r="16" spans="1:15" x14ac:dyDescent="0.25">
      <c r="B16" s="13" t="s">
        <v>123</v>
      </c>
      <c r="C16" s="58"/>
      <c r="D16" s="59"/>
      <c r="E16" s="59"/>
      <c r="F16" s="59"/>
      <c r="G16" s="59"/>
      <c r="H16" s="59"/>
      <c r="I16" s="59"/>
    </row>
    <row r="17" spans="2:9" x14ac:dyDescent="0.25">
      <c r="B17" s="13" t="s">
        <v>124</v>
      </c>
      <c r="C17" s="58"/>
      <c r="D17" s="59"/>
      <c r="E17" s="59"/>
      <c r="F17" s="59"/>
      <c r="G17" s="59"/>
      <c r="H17" s="59"/>
      <c r="I17" s="59"/>
    </row>
    <row r="18" spans="2:9" x14ac:dyDescent="0.25">
      <c r="B18" s="13" t="s">
        <v>125</v>
      </c>
      <c r="C18" s="58"/>
      <c r="D18" s="59"/>
      <c r="E18" s="59"/>
      <c r="F18" s="59"/>
      <c r="G18" s="59"/>
      <c r="H18" s="59"/>
      <c r="I18" s="59"/>
    </row>
    <row r="19" spans="2:9" x14ac:dyDescent="0.25">
      <c r="B19" s="13" t="s">
        <v>126</v>
      </c>
      <c r="C19" s="58"/>
      <c r="D19" s="59"/>
      <c r="E19" s="59"/>
      <c r="F19" s="59"/>
      <c r="G19" s="59"/>
      <c r="H19" s="59"/>
      <c r="I19" s="59"/>
    </row>
    <row r="20" spans="2:9" x14ac:dyDescent="0.25">
      <c r="B20" s="13" t="s">
        <v>13</v>
      </c>
      <c r="C20" s="58"/>
      <c r="D20" s="59"/>
      <c r="E20" s="59"/>
      <c r="F20" s="59"/>
      <c r="G20" s="59"/>
      <c r="H20" s="59"/>
      <c r="I20" s="59"/>
    </row>
    <row r="21" spans="2:9" x14ac:dyDescent="0.25">
      <c r="B21" s="13" t="s">
        <v>14</v>
      </c>
      <c r="C21" s="58"/>
      <c r="D21" s="59"/>
      <c r="E21" s="59"/>
      <c r="F21" s="59"/>
      <c r="G21" s="59"/>
      <c r="H21" s="59"/>
      <c r="I21" s="59"/>
    </row>
    <row r="22" spans="2:9" x14ac:dyDescent="0.25">
      <c r="B22" s="13" t="s">
        <v>127</v>
      </c>
      <c r="C22" s="58"/>
      <c r="D22" s="59"/>
      <c r="E22" s="59"/>
      <c r="F22" s="59"/>
      <c r="G22" s="59"/>
      <c r="H22" s="59"/>
      <c r="I22" s="59"/>
    </row>
    <row r="23" spans="2:9" x14ac:dyDescent="0.25">
      <c r="B23" s="13" t="s">
        <v>128</v>
      </c>
      <c r="C23" s="58"/>
      <c r="D23" s="59"/>
      <c r="E23" s="59"/>
      <c r="F23" s="59"/>
      <c r="G23" s="59"/>
      <c r="H23" s="59"/>
      <c r="I23" s="59"/>
    </row>
    <row r="24" spans="2:9" x14ac:dyDescent="0.25">
      <c r="B24" s="13" t="s">
        <v>129</v>
      </c>
      <c r="C24" s="58"/>
      <c r="D24" s="59"/>
      <c r="E24" s="59"/>
      <c r="F24" s="59"/>
      <c r="G24" s="59"/>
      <c r="H24" s="59"/>
      <c r="I24" s="59"/>
    </row>
    <row r="25" spans="2:9" x14ac:dyDescent="0.25">
      <c r="B25" s="13" t="s">
        <v>130</v>
      </c>
      <c r="C25" s="58"/>
      <c r="D25" s="59"/>
      <c r="E25" s="59"/>
      <c r="F25" s="59"/>
      <c r="G25" s="59"/>
      <c r="H25" s="59"/>
      <c r="I25" s="59"/>
    </row>
    <row r="26" spans="2:9" x14ac:dyDescent="0.25">
      <c r="B26" s="13" t="s">
        <v>131</v>
      </c>
      <c r="C26" s="58"/>
      <c r="D26" s="59"/>
      <c r="E26" s="59"/>
      <c r="F26" s="59"/>
      <c r="G26" s="59"/>
      <c r="H26" s="59"/>
      <c r="I26" s="59"/>
    </row>
    <row r="27" spans="2:9" x14ac:dyDescent="0.25">
      <c r="B27" s="13" t="s">
        <v>132</v>
      </c>
      <c r="C27" s="58"/>
      <c r="D27" s="59"/>
      <c r="E27" s="59"/>
      <c r="F27" s="59"/>
      <c r="G27" s="59"/>
      <c r="H27" s="59"/>
      <c r="I27" s="59"/>
    </row>
    <row r="28" spans="2:9" x14ac:dyDescent="0.25">
      <c r="B28" s="13">
        <v>40081305</v>
      </c>
      <c r="C28" s="58"/>
      <c r="D28" s="59"/>
      <c r="E28" s="59"/>
      <c r="F28" s="59"/>
      <c r="G28" s="59"/>
      <c r="H28" s="59"/>
      <c r="I28" s="59"/>
    </row>
    <row r="29" spans="2:9" x14ac:dyDescent="0.25">
      <c r="B29" s="13" t="s">
        <v>133</v>
      </c>
      <c r="C29" s="58"/>
      <c r="D29" s="59"/>
      <c r="E29" s="59"/>
      <c r="F29" s="59"/>
      <c r="G29" s="59"/>
      <c r="H29" s="59"/>
      <c r="I29" s="59"/>
    </row>
    <row r="30" spans="2:9" x14ac:dyDescent="0.25">
      <c r="B30" s="13" t="s">
        <v>134</v>
      </c>
      <c r="C30" s="58"/>
      <c r="D30" s="59"/>
      <c r="E30" s="59"/>
      <c r="F30" s="59"/>
      <c r="G30" s="59"/>
      <c r="H30" s="59"/>
      <c r="I30" s="59"/>
    </row>
    <row r="31" spans="2:9" x14ac:dyDescent="0.25">
      <c r="B31" s="13" t="s">
        <v>135</v>
      </c>
      <c r="C31" s="58"/>
      <c r="D31" s="59"/>
      <c r="E31" s="59"/>
      <c r="F31" s="59"/>
      <c r="G31" s="59"/>
      <c r="H31" s="59"/>
      <c r="I31" s="59"/>
    </row>
    <row r="32" spans="2:9" x14ac:dyDescent="0.25">
      <c r="B32" s="13" t="s">
        <v>136</v>
      </c>
      <c r="C32" s="58"/>
      <c r="D32" s="59"/>
      <c r="E32" s="59"/>
      <c r="F32" s="59"/>
      <c r="G32" s="59"/>
      <c r="H32" s="59"/>
      <c r="I32" s="59"/>
    </row>
    <row r="33" spans="2:9" x14ac:dyDescent="0.25">
      <c r="B33" s="13" t="s">
        <v>137</v>
      </c>
      <c r="C33" s="58"/>
      <c r="D33" s="59"/>
      <c r="E33" s="59"/>
      <c r="F33" s="59"/>
      <c r="G33" s="59"/>
      <c r="H33" s="59"/>
      <c r="I33" s="59"/>
    </row>
    <row r="34" spans="2:9" x14ac:dyDescent="0.25">
      <c r="B34" s="13" t="s">
        <v>15</v>
      </c>
      <c r="C34" s="58"/>
      <c r="D34" s="59"/>
      <c r="E34" s="59"/>
      <c r="F34" s="59"/>
      <c r="G34" s="59"/>
      <c r="H34" s="59"/>
      <c r="I34" s="59"/>
    </row>
    <row r="35" spans="2:9" x14ac:dyDescent="0.25">
      <c r="B35" s="14">
        <v>42389</v>
      </c>
      <c r="C35" s="58"/>
    </row>
    <row r="36" spans="2:9" x14ac:dyDescent="0.25">
      <c r="B36" s="13" t="s">
        <v>16</v>
      </c>
      <c r="C36" s="58"/>
    </row>
    <row r="37" spans="2:9" x14ac:dyDescent="0.25">
      <c r="B37" s="13">
        <v>832.3</v>
      </c>
      <c r="C37" s="58"/>
    </row>
    <row r="38" spans="2:9" x14ac:dyDescent="0.25">
      <c r="B38" s="13" t="s">
        <v>138</v>
      </c>
      <c r="C38" s="58"/>
    </row>
    <row r="39" spans="2:9" x14ac:dyDescent="0.25">
      <c r="B39" s="14">
        <v>42367</v>
      </c>
      <c r="C39" s="58"/>
    </row>
    <row r="40" spans="2:9" x14ac:dyDescent="0.25">
      <c r="B40" s="14" t="s">
        <v>17</v>
      </c>
      <c r="C40" s="58"/>
    </row>
    <row r="41" spans="2:9" x14ac:dyDescent="0.25">
      <c r="B41" s="14">
        <v>42374</v>
      </c>
      <c r="C41" s="58"/>
    </row>
    <row r="42" spans="2:9" x14ac:dyDescent="0.25">
      <c r="B42" s="15" t="s">
        <v>18</v>
      </c>
      <c r="C42" s="58"/>
    </row>
    <row r="43" spans="2:9" x14ac:dyDescent="0.25">
      <c r="B43" s="13">
        <v>126588761</v>
      </c>
      <c r="C43" s="58"/>
    </row>
    <row r="44" spans="2:9" x14ac:dyDescent="0.25">
      <c r="B44" s="14" t="s">
        <v>3</v>
      </c>
      <c r="C44" s="58"/>
    </row>
    <row r="45" spans="2:9" x14ac:dyDescent="0.25">
      <c r="B45" s="13">
        <v>2372347</v>
      </c>
      <c r="C45" s="58"/>
    </row>
    <row r="46" spans="2:9" x14ac:dyDescent="0.25">
      <c r="B46" s="14" t="s">
        <v>19</v>
      </c>
      <c r="C46" s="58"/>
    </row>
    <row r="47" spans="2:9" x14ac:dyDescent="0.25">
      <c r="B47" s="13">
        <v>1002164727</v>
      </c>
      <c r="C47" s="58"/>
    </row>
    <row r="48" spans="2:9" x14ac:dyDescent="0.25">
      <c r="B48" s="13" t="s">
        <v>20</v>
      </c>
      <c r="C48" s="58"/>
    </row>
    <row r="49" spans="2:3" x14ac:dyDescent="0.25">
      <c r="B49" s="13">
        <v>4567428</v>
      </c>
      <c r="C49" s="58"/>
    </row>
    <row r="50" spans="2:3" x14ac:dyDescent="0.25">
      <c r="B50" s="13" t="s">
        <v>22</v>
      </c>
      <c r="C50" s="58"/>
    </row>
    <row r="51" spans="2:3" x14ac:dyDescent="0.25">
      <c r="B51" s="13" t="s">
        <v>139</v>
      </c>
      <c r="C51" s="58"/>
    </row>
    <row r="52" spans="2:3" x14ac:dyDescent="0.25">
      <c r="B52" s="13" t="s">
        <v>114</v>
      </c>
      <c r="C52" s="58"/>
    </row>
    <row r="53" spans="2:3" x14ac:dyDescent="0.25">
      <c r="B53" s="13" t="s">
        <v>21</v>
      </c>
      <c r="C53" s="58"/>
    </row>
    <row r="54" spans="2:3" x14ac:dyDescent="0.25">
      <c r="B54" s="13" t="s">
        <v>140</v>
      </c>
      <c r="C54" s="58"/>
    </row>
    <row r="55" spans="2:3" x14ac:dyDescent="0.25">
      <c r="B55" s="13" t="s">
        <v>141</v>
      </c>
      <c r="C55" s="58"/>
    </row>
    <row r="56" spans="2:3" x14ac:dyDescent="0.25">
      <c r="B56" s="13" t="s">
        <v>142</v>
      </c>
      <c r="C56" s="58"/>
    </row>
    <row r="57" spans="2:3" x14ac:dyDescent="0.25">
      <c r="B57" s="13" t="s">
        <v>143</v>
      </c>
      <c r="C57" s="58"/>
    </row>
    <row r="58" spans="2:3" x14ac:dyDescent="0.25">
      <c r="B58" s="13" t="s">
        <v>144</v>
      </c>
      <c r="C58" s="58"/>
    </row>
    <row r="59" spans="2:3" x14ac:dyDescent="0.25">
      <c r="B59" s="13" t="s">
        <v>145</v>
      </c>
      <c r="C59" s="58"/>
    </row>
    <row r="60" spans="2:3" x14ac:dyDescent="0.25">
      <c r="B60" s="13" t="s">
        <v>146</v>
      </c>
      <c r="C60" s="58"/>
    </row>
    <row r="61" spans="2:3" x14ac:dyDescent="0.25">
      <c r="B61" s="13" t="s">
        <v>147</v>
      </c>
      <c r="C61" s="58"/>
    </row>
    <row r="62" spans="2:3" x14ac:dyDescent="0.25">
      <c r="B62" s="13" t="s">
        <v>148</v>
      </c>
      <c r="C62" s="58"/>
    </row>
    <row r="63" spans="2:3" x14ac:dyDescent="0.25">
      <c r="B63" s="13" t="s">
        <v>149</v>
      </c>
      <c r="C63" s="58"/>
    </row>
    <row r="64" spans="2:3" x14ac:dyDescent="0.25">
      <c r="B64" s="13" t="s">
        <v>150</v>
      </c>
      <c r="C64" s="58"/>
    </row>
    <row r="65" spans="2:3" x14ac:dyDescent="0.25">
      <c r="B65" s="13" t="s">
        <v>151</v>
      </c>
      <c r="C65" s="58"/>
    </row>
    <row r="66" spans="2:3" x14ac:dyDescent="0.25">
      <c r="B66" s="13" t="s">
        <v>152</v>
      </c>
      <c r="C66" s="58"/>
    </row>
    <row r="67" spans="2:3" x14ac:dyDescent="0.25">
      <c r="B67" s="13" t="s">
        <v>153</v>
      </c>
      <c r="C67" s="58"/>
    </row>
    <row r="68" spans="2:3" x14ac:dyDescent="0.25">
      <c r="B68" s="13" t="s">
        <v>154</v>
      </c>
      <c r="C68" s="58"/>
    </row>
    <row r="69" spans="2:3" x14ac:dyDescent="0.25">
      <c r="B69" s="13" t="s">
        <v>155</v>
      </c>
      <c r="C69" s="58"/>
    </row>
    <row r="70" spans="2:3" x14ac:dyDescent="0.25">
      <c r="B70" s="13" t="s">
        <v>153</v>
      </c>
      <c r="C70" s="58"/>
    </row>
    <row r="71" spans="2:3" x14ac:dyDescent="0.25">
      <c r="B71" s="13" t="s">
        <v>156</v>
      </c>
      <c r="C71" s="58"/>
    </row>
    <row r="72" spans="2:3" x14ac:dyDescent="0.25">
      <c r="B72" s="13" t="s">
        <v>157</v>
      </c>
      <c r="C72" s="58"/>
    </row>
    <row r="73" spans="2:3" x14ac:dyDescent="0.25">
      <c r="B73" s="13" t="s">
        <v>158</v>
      </c>
      <c r="C73" s="58"/>
    </row>
    <row r="74" spans="2:3" x14ac:dyDescent="0.25">
      <c r="B74" s="13" t="s">
        <v>23</v>
      </c>
      <c r="C74" s="58"/>
    </row>
    <row r="75" spans="2:3" x14ac:dyDescent="0.25">
      <c r="B75" s="13" t="s">
        <v>24</v>
      </c>
      <c r="C75" s="58"/>
    </row>
    <row r="76" spans="2:3" x14ac:dyDescent="0.25">
      <c r="B76" s="13" t="s">
        <v>159</v>
      </c>
      <c r="C76" s="58"/>
    </row>
    <row r="77" spans="2:3" x14ac:dyDescent="0.25">
      <c r="B77" s="13" t="s">
        <v>160</v>
      </c>
      <c r="C77" s="58"/>
    </row>
    <row r="78" spans="2:3" x14ac:dyDescent="0.25">
      <c r="B78" s="13" t="s">
        <v>161</v>
      </c>
      <c r="C78" s="58"/>
    </row>
    <row r="79" spans="2:3" x14ac:dyDescent="0.25">
      <c r="B79" s="13" t="s">
        <v>159</v>
      </c>
      <c r="C79" s="58"/>
    </row>
    <row r="80" spans="2:3" x14ac:dyDescent="0.25">
      <c r="B80" s="13" t="s">
        <v>160</v>
      </c>
      <c r="C80" s="58"/>
    </row>
    <row r="81" spans="2:3" x14ac:dyDescent="0.25">
      <c r="B81" s="13" t="s">
        <v>161</v>
      </c>
      <c r="C81" s="58"/>
    </row>
    <row r="82" spans="2:3" x14ac:dyDescent="0.25">
      <c r="B82" s="13" t="s">
        <v>159</v>
      </c>
      <c r="C82" s="58"/>
    </row>
    <row r="83" spans="2:3" x14ac:dyDescent="0.25">
      <c r="B83" s="13" t="s">
        <v>160</v>
      </c>
      <c r="C83" s="58"/>
    </row>
    <row r="84" spans="2:3" x14ac:dyDescent="0.25">
      <c r="B84" s="13" t="s">
        <v>161</v>
      </c>
      <c r="C84" s="58"/>
    </row>
    <row r="85" spans="2:3" x14ac:dyDescent="0.25">
      <c r="B85" s="13" t="s">
        <v>162</v>
      </c>
      <c r="C85" s="58"/>
    </row>
    <row r="86" spans="2:3" x14ac:dyDescent="0.25">
      <c r="B86" s="13" t="s">
        <v>163</v>
      </c>
      <c r="C86" s="58"/>
    </row>
    <row r="87" spans="2:3" x14ac:dyDescent="0.25">
      <c r="B87" s="13" t="s">
        <v>164</v>
      </c>
      <c r="C87" s="58"/>
    </row>
    <row r="88" spans="2:3" x14ac:dyDescent="0.25">
      <c r="B88" s="13" t="s">
        <v>165</v>
      </c>
      <c r="C88" s="58"/>
    </row>
    <row r="89" spans="2:3" x14ac:dyDescent="0.25">
      <c r="B89" s="13" t="s">
        <v>166</v>
      </c>
      <c r="C89" s="58"/>
    </row>
    <row r="90" spans="2:3" x14ac:dyDescent="0.25">
      <c r="B90" s="13" t="s">
        <v>167</v>
      </c>
      <c r="C90" s="58"/>
    </row>
    <row r="91" spans="2:3" x14ac:dyDescent="0.25">
      <c r="B91" s="13" t="s">
        <v>168</v>
      </c>
      <c r="C91" s="58"/>
    </row>
    <row r="92" spans="2:3" x14ac:dyDescent="0.25">
      <c r="B92" s="13" t="s">
        <v>169</v>
      </c>
      <c r="C92" s="58"/>
    </row>
    <row r="93" spans="2:3" x14ac:dyDescent="0.25">
      <c r="B93" s="13" t="s">
        <v>170</v>
      </c>
      <c r="C93" s="58"/>
    </row>
    <row r="94" spans="2:3" x14ac:dyDescent="0.25">
      <c r="B94" s="13" t="s">
        <v>171</v>
      </c>
      <c r="C94" s="58"/>
    </row>
    <row r="95" spans="2:3" x14ac:dyDescent="0.25">
      <c r="B95" s="13" t="s">
        <v>172</v>
      </c>
      <c r="C95" s="58"/>
    </row>
    <row r="96" spans="2:3" x14ac:dyDescent="0.25">
      <c r="B96" s="13" t="s">
        <v>173</v>
      </c>
      <c r="C96" s="58"/>
    </row>
    <row r="97" spans="2:3" x14ac:dyDescent="0.25">
      <c r="B97" s="16" t="s">
        <v>174</v>
      </c>
      <c r="C97" s="58"/>
    </row>
    <row r="98" spans="2:3" x14ac:dyDescent="0.25">
      <c r="B98" s="13" t="s">
        <v>175</v>
      </c>
      <c r="C98" s="58"/>
    </row>
    <row r="99" spans="2:3" x14ac:dyDescent="0.25">
      <c r="B99" s="13" t="s">
        <v>176</v>
      </c>
      <c r="C99" s="58"/>
    </row>
    <row r="100" spans="2:3" x14ac:dyDescent="0.25">
      <c r="B100" s="13" t="s">
        <v>177</v>
      </c>
      <c r="C100" s="58"/>
    </row>
    <row r="101" spans="2:3" x14ac:dyDescent="0.25">
      <c r="B101" s="13" t="s">
        <v>178</v>
      </c>
      <c r="C101" s="58"/>
    </row>
    <row r="102" spans="2:3" x14ac:dyDescent="0.25">
      <c r="B102" s="13" t="s">
        <v>179</v>
      </c>
      <c r="C102" s="58"/>
    </row>
    <row r="103" spans="2:3" x14ac:dyDescent="0.25">
      <c r="B103" s="13" t="s">
        <v>180</v>
      </c>
      <c r="C103" s="58"/>
    </row>
    <row r="104" spans="2:3" x14ac:dyDescent="0.25">
      <c r="B104" s="13" t="s">
        <v>181</v>
      </c>
      <c r="C104" s="58"/>
    </row>
    <row r="105" spans="2:3" x14ac:dyDescent="0.25">
      <c r="B105" s="13" t="s">
        <v>182</v>
      </c>
      <c r="C105" s="58"/>
    </row>
    <row r="106" spans="2:3" x14ac:dyDescent="0.25">
      <c r="B106" s="13" t="s">
        <v>183</v>
      </c>
      <c r="C106" s="58"/>
    </row>
    <row r="107" spans="2:3" x14ac:dyDescent="0.25">
      <c r="B107" s="13" t="s">
        <v>184</v>
      </c>
      <c r="C107" s="58"/>
    </row>
    <row r="108" spans="2:3" x14ac:dyDescent="0.25">
      <c r="B108" s="13" t="s">
        <v>185</v>
      </c>
      <c r="C108" s="58"/>
    </row>
    <row r="109" spans="2:3" x14ac:dyDescent="0.25">
      <c r="B109" s="13" t="s">
        <v>186</v>
      </c>
      <c r="C109" s="58"/>
    </row>
    <row r="110" spans="2:3" x14ac:dyDescent="0.25">
      <c r="B110" s="13" t="s">
        <v>187</v>
      </c>
      <c r="C110" s="58"/>
    </row>
    <row r="111" spans="2:3" x14ac:dyDescent="0.25">
      <c r="B111" s="13" t="s">
        <v>25</v>
      </c>
      <c r="C111" s="58"/>
    </row>
    <row r="112" spans="2:3" x14ac:dyDescent="0.25">
      <c r="B112" s="13" t="s">
        <v>188</v>
      </c>
      <c r="C112" s="58"/>
    </row>
    <row r="113" spans="2:3" x14ac:dyDescent="0.25">
      <c r="B113" s="13" t="s">
        <v>189</v>
      </c>
      <c r="C113" s="58"/>
    </row>
    <row r="114" spans="2:3" x14ac:dyDescent="0.25">
      <c r="B114" s="13" t="s">
        <v>190</v>
      </c>
      <c r="C114" s="58"/>
    </row>
    <row r="115" spans="2:3" x14ac:dyDescent="0.25">
      <c r="B115" s="13" t="s">
        <v>191</v>
      </c>
      <c r="C115" s="58"/>
    </row>
    <row r="116" spans="2:3" x14ac:dyDescent="0.25">
      <c r="B116" s="13" t="s">
        <v>192</v>
      </c>
      <c r="C116" s="58"/>
    </row>
    <row r="117" spans="2:3" x14ac:dyDescent="0.25">
      <c r="B117" s="13" t="s">
        <v>193</v>
      </c>
      <c r="C117" s="58"/>
    </row>
    <row r="118" spans="2:3" x14ac:dyDescent="0.25">
      <c r="B118" s="13" t="s">
        <v>194</v>
      </c>
      <c r="C118" s="58"/>
    </row>
    <row r="119" spans="2:3" x14ac:dyDescent="0.25">
      <c r="B119" s="13" t="s">
        <v>195</v>
      </c>
      <c r="C119" s="58"/>
    </row>
    <row r="120" spans="2:3" x14ac:dyDescent="0.25">
      <c r="B120" s="13" t="s">
        <v>196</v>
      </c>
      <c r="C120" s="58"/>
    </row>
    <row r="121" spans="2:3" x14ac:dyDescent="0.25">
      <c r="B121" s="13" t="s">
        <v>30</v>
      </c>
      <c r="C121" s="58"/>
    </row>
    <row r="122" spans="2:3" x14ac:dyDescent="0.25">
      <c r="B122" s="13" t="s">
        <v>197</v>
      </c>
      <c r="C122" s="58"/>
    </row>
    <row r="123" spans="2:3" x14ac:dyDescent="0.25">
      <c r="B123" s="13" t="s">
        <v>198</v>
      </c>
      <c r="C123" s="58"/>
    </row>
    <row r="124" spans="2:3" x14ac:dyDescent="0.25">
      <c r="B124" s="13" t="s">
        <v>199</v>
      </c>
      <c r="C124" s="58"/>
    </row>
    <row r="125" spans="2:3" x14ac:dyDescent="0.25">
      <c r="B125" s="13" t="s">
        <v>200</v>
      </c>
      <c r="C125" s="58"/>
    </row>
    <row r="126" spans="2:3" x14ac:dyDescent="0.25">
      <c r="B126" s="13" t="s">
        <v>199</v>
      </c>
      <c r="C126" s="58"/>
    </row>
    <row r="127" spans="2:3" x14ac:dyDescent="0.25">
      <c r="B127" s="13" t="s">
        <v>201</v>
      </c>
      <c r="C127" s="58"/>
    </row>
    <row r="128" spans="2:3" x14ac:dyDescent="0.25">
      <c r="B128" s="13" t="s">
        <v>199</v>
      </c>
      <c r="C128" s="58"/>
    </row>
    <row r="129" spans="2:3" x14ac:dyDescent="0.25">
      <c r="B129" s="13" t="s">
        <v>202</v>
      </c>
      <c r="C129" s="58"/>
    </row>
    <row r="130" spans="2:3" x14ac:dyDescent="0.25">
      <c r="B130" s="17">
        <v>42278</v>
      </c>
      <c r="C130" s="58"/>
    </row>
    <row r="131" spans="2:3" x14ac:dyDescent="0.25">
      <c r="B131" s="13" t="s">
        <v>203</v>
      </c>
      <c r="C131" s="58"/>
    </row>
    <row r="132" spans="2:3" x14ac:dyDescent="0.25">
      <c r="B132" s="13" t="s">
        <v>204</v>
      </c>
      <c r="C132" s="58"/>
    </row>
    <row r="133" spans="2:3" x14ac:dyDescent="0.25">
      <c r="B133" s="13" t="s">
        <v>205</v>
      </c>
      <c r="C133" s="58"/>
    </row>
    <row r="134" spans="2:3" x14ac:dyDescent="0.25">
      <c r="B134" s="13" t="s">
        <v>206</v>
      </c>
      <c r="C134" s="58"/>
    </row>
    <row r="135" spans="2:3" x14ac:dyDescent="0.25">
      <c r="B135" s="13" t="s">
        <v>207</v>
      </c>
      <c r="C135" s="58"/>
    </row>
    <row r="136" spans="2:3" x14ac:dyDescent="0.25">
      <c r="B136" s="13" t="s">
        <v>208</v>
      </c>
      <c r="C136" s="58"/>
    </row>
    <row r="137" spans="2:3" x14ac:dyDescent="0.25">
      <c r="B137" s="13" t="s">
        <v>209</v>
      </c>
      <c r="C137" s="58"/>
    </row>
    <row r="138" spans="2:3" x14ac:dyDescent="0.25">
      <c r="B138" s="13" t="s">
        <v>210</v>
      </c>
      <c r="C138" s="58"/>
    </row>
    <row r="139" spans="2:3" x14ac:dyDescent="0.25">
      <c r="B139" s="13" t="s">
        <v>211</v>
      </c>
      <c r="C139" s="58"/>
    </row>
    <row r="140" spans="2:3" x14ac:dyDescent="0.25">
      <c r="B140" s="13" t="s">
        <v>212</v>
      </c>
      <c r="C140" s="58"/>
    </row>
    <row r="141" spans="2:3" x14ac:dyDescent="0.25">
      <c r="B141" s="13" t="s">
        <v>213</v>
      </c>
      <c r="C141" s="58"/>
    </row>
    <row r="142" spans="2:3" x14ac:dyDescent="0.25">
      <c r="B142" s="14" t="s">
        <v>214</v>
      </c>
      <c r="C142" s="58"/>
    </row>
    <row r="143" spans="2:3" x14ac:dyDescent="0.25">
      <c r="B143" s="13" t="s">
        <v>215</v>
      </c>
      <c r="C143" s="58"/>
    </row>
    <row r="144" spans="2:3" x14ac:dyDescent="0.25">
      <c r="B144" s="15" t="s">
        <v>216</v>
      </c>
      <c r="C144" s="58"/>
    </row>
    <row r="145" spans="2:3" x14ac:dyDescent="0.25">
      <c r="B145" s="13" t="s">
        <v>217</v>
      </c>
      <c r="C145" s="58"/>
    </row>
    <row r="146" spans="2:3" x14ac:dyDescent="0.25">
      <c r="B146" s="14" t="s">
        <v>218</v>
      </c>
      <c r="C146" s="58"/>
    </row>
    <row r="147" spans="2:3" x14ac:dyDescent="0.25">
      <c r="B147" s="13" t="s">
        <v>26</v>
      </c>
      <c r="C147" s="58"/>
    </row>
    <row r="148" spans="2:3" x14ac:dyDescent="0.25">
      <c r="B148" s="14" t="s">
        <v>219</v>
      </c>
      <c r="C148" s="58"/>
    </row>
    <row r="149" spans="2:3" x14ac:dyDescent="0.25">
      <c r="B149" s="13" t="s">
        <v>220</v>
      </c>
      <c r="C149" s="58"/>
    </row>
    <row r="150" spans="2:3" x14ac:dyDescent="0.25">
      <c r="B150" s="13" t="s">
        <v>221</v>
      </c>
      <c r="C150" s="58"/>
    </row>
    <row r="151" spans="2:3" x14ac:dyDescent="0.25">
      <c r="B151" s="13" t="s">
        <v>222</v>
      </c>
      <c r="C151" s="58"/>
    </row>
    <row r="152" spans="2:3" x14ac:dyDescent="0.25">
      <c r="B152" s="13" t="s">
        <v>27</v>
      </c>
      <c r="C152" s="58"/>
    </row>
    <row r="153" spans="2:3" x14ac:dyDescent="0.25">
      <c r="B153" s="13" t="s">
        <v>28</v>
      </c>
      <c r="C153" s="58"/>
    </row>
    <row r="154" spans="2:3" x14ac:dyDescent="0.25">
      <c r="B154" s="13" t="s">
        <v>223</v>
      </c>
      <c r="C154" s="58"/>
    </row>
    <row r="155" spans="2:3" x14ac:dyDescent="0.25">
      <c r="B155" s="13" t="s">
        <v>29</v>
      </c>
      <c r="C155" s="58"/>
    </row>
    <row r="156" spans="2:3" x14ac:dyDescent="0.25">
      <c r="B156" s="13" t="s">
        <v>31</v>
      </c>
      <c r="C156" s="58"/>
    </row>
    <row r="157" spans="2:3" x14ac:dyDescent="0.25">
      <c r="B157" s="13" t="s">
        <v>224</v>
      </c>
      <c r="C157" s="58"/>
    </row>
    <row r="158" spans="2:3" x14ac:dyDescent="0.25">
      <c r="B158" s="13" t="s">
        <v>32</v>
      </c>
      <c r="C158" s="58"/>
    </row>
    <row r="159" spans="2:3" x14ac:dyDescent="0.25">
      <c r="B159" s="13" t="s">
        <v>225</v>
      </c>
      <c r="C159" s="58"/>
    </row>
    <row r="160" spans="2:3" x14ac:dyDescent="0.25">
      <c r="B160" s="13" t="s">
        <v>226</v>
      </c>
      <c r="C160" s="58"/>
    </row>
    <row r="161" spans="2:3" x14ac:dyDescent="0.25">
      <c r="B161" s="13" t="s">
        <v>227</v>
      </c>
      <c r="C161" s="58"/>
    </row>
    <row r="162" spans="2:3" x14ac:dyDescent="0.25">
      <c r="B162" s="13" t="s">
        <v>228</v>
      </c>
      <c r="C162" s="58"/>
    </row>
    <row r="163" spans="2:3" x14ac:dyDescent="0.25">
      <c r="B163" s="13" t="s">
        <v>3</v>
      </c>
      <c r="C163" s="58"/>
    </row>
    <row r="164" spans="2:3" x14ac:dyDescent="0.25">
      <c r="B164" s="13">
        <v>2372347</v>
      </c>
      <c r="C164" s="58"/>
    </row>
    <row r="165" spans="2:3" x14ac:dyDescent="0.25">
      <c r="B165" s="16" t="s">
        <v>229</v>
      </c>
      <c r="C165" s="58"/>
    </row>
    <row r="166" spans="2:3" x14ac:dyDescent="0.25">
      <c r="B166" s="17">
        <v>42339</v>
      </c>
      <c r="C166" s="58"/>
    </row>
    <row r="167" spans="2:3" x14ac:dyDescent="0.25">
      <c r="B167" s="13" t="s">
        <v>230</v>
      </c>
      <c r="C167" s="58"/>
    </row>
    <row r="168" spans="2:3" x14ac:dyDescent="0.25">
      <c r="B168" s="13">
        <v>832.3</v>
      </c>
      <c r="C168" s="58"/>
    </row>
    <row r="169" spans="2:3" x14ac:dyDescent="0.25">
      <c r="B169" s="13" t="s">
        <v>231</v>
      </c>
      <c r="C169" s="58"/>
    </row>
    <row r="170" spans="2:3" x14ac:dyDescent="0.25">
      <c r="B170" s="14">
        <v>42389</v>
      </c>
      <c r="C170" s="58"/>
    </row>
    <row r="171" spans="2:3" x14ac:dyDescent="0.25">
      <c r="B171" s="13" t="s">
        <v>232</v>
      </c>
      <c r="C171" s="58"/>
    </row>
    <row r="172" spans="2:3" x14ac:dyDescent="0.25">
      <c r="B172" s="13" t="s">
        <v>233</v>
      </c>
      <c r="C172" s="58"/>
    </row>
    <row r="173" spans="2:3" x14ac:dyDescent="0.25">
      <c r="B173" s="13" t="s">
        <v>234</v>
      </c>
      <c r="C173" s="58"/>
    </row>
    <row r="174" spans="2:3" x14ac:dyDescent="0.25">
      <c r="B174" s="13" t="s">
        <v>235</v>
      </c>
      <c r="C174" s="58"/>
    </row>
    <row r="175" spans="2:3" x14ac:dyDescent="0.25">
      <c r="B175" s="13"/>
      <c r="C175" s="58"/>
    </row>
    <row r="176" spans="2:3" x14ac:dyDescent="0.25">
      <c r="B176" s="13"/>
      <c r="C176" s="58"/>
    </row>
    <row r="177" spans="2:3" x14ac:dyDescent="0.25">
      <c r="B177" s="13"/>
      <c r="C177" s="58"/>
    </row>
    <row r="178" spans="2:3" x14ac:dyDescent="0.25">
      <c r="B178" s="13"/>
      <c r="C178" s="58"/>
    </row>
    <row r="179" spans="2:3" x14ac:dyDescent="0.25">
      <c r="B179" s="13"/>
      <c r="C179" s="58"/>
    </row>
    <row r="180" spans="2:3" x14ac:dyDescent="0.25">
      <c r="B180" s="13"/>
      <c r="C180" s="58"/>
    </row>
    <row r="181" spans="2:3" x14ac:dyDescent="0.25">
      <c r="B181" s="13"/>
      <c r="C181" s="58"/>
    </row>
    <row r="182" spans="2:3" x14ac:dyDescent="0.25">
      <c r="B182" s="13"/>
      <c r="C182" s="58"/>
    </row>
    <row r="183" spans="2:3" x14ac:dyDescent="0.25">
      <c r="B183" s="13"/>
      <c r="C183" s="58"/>
    </row>
    <row r="184" spans="2:3" x14ac:dyDescent="0.25">
      <c r="B184" s="13"/>
      <c r="C184" s="58"/>
    </row>
    <row r="185" spans="2:3" x14ac:dyDescent="0.25">
      <c r="B185" s="13"/>
      <c r="C185" s="58"/>
    </row>
    <row r="186" spans="2:3" x14ac:dyDescent="0.25">
      <c r="B186" s="13"/>
      <c r="C186" s="58"/>
    </row>
    <row r="187" spans="2:3" x14ac:dyDescent="0.25">
      <c r="B187" s="13"/>
      <c r="C187" s="58"/>
    </row>
    <row r="188" spans="2:3" x14ac:dyDescent="0.25">
      <c r="B188" s="13"/>
      <c r="C188" s="58"/>
    </row>
    <row r="189" spans="2:3" x14ac:dyDescent="0.25">
      <c r="B189" s="14"/>
      <c r="C189" s="58"/>
    </row>
    <row r="190" spans="2:3" x14ac:dyDescent="0.25">
      <c r="B190" s="13"/>
      <c r="C190" s="58"/>
    </row>
    <row r="191" spans="2:3" x14ac:dyDescent="0.25">
      <c r="B191" s="15"/>
      <c r="C191" s="58"/>
    </row>
    <row r="192" spans="2:3" x14ac:dyDescent="0.25">
      <c r="B192" s="13"/>
      <c r="C192" s="58"/>
    </row>
    <row r="193" spans="2:3" x14ac:dyDescent="0.25">
      <c r="B193" s="14"/>
      <c r="C193" s="58"/>
    </row>
    <row r="194" spans="2:3" x14ac:dyDescent="0.25">
      <c r="B194" s="13"/>
      <c r="C194" s="58"/>
    </row>
    <row r="195" spans="2:3" x14ac:dyDescent="0.25">
      <c r="B195" s="14"/>
      <c r="C195" s="58"/>
    </row>
    <row r="196" spans="2:3" x14ac:dyDescent="0.25">
      <c r="B196" s="13"/>
      <c r="C196" s="58"/>
    </row>
    <row r="197" spans="2:3" x14ac:dyDescent="0.25">
      <c r="B197" s="13"/>
      <c r="C197" s="58"/>
    </row>
    <row r="198" spans="2:3" x14ac:dyDescent="0.25">
      <c r="B198" s="13"/>
      <c r="C198" s="58"/>
    </row>
    <row r="199" spans="2:3" x14ac:dyDescent="0.25">
      <c r="B199" s="13"/>
      <c r="C199" s="58"/>
    </row>
    <row r="200" spans="2:3" x14ac:dyDescent="0.25">
      <c r="B200" s="13"/>
      <c r="C200" s="58"/>
    </row>
    <row r="201" spans="2:3" x14ac:dyDescent="0.25">
      <c r="B201" s="13"/>
      <c r="C201" s="58"/>
    </row>
    <row r="202" spans="2:3" x14ac:dyDescent="0.25">
      <c r="B202" s="13"/>
      <c r="C202" s="58"/>
    </row>
    <row r="203" spans="2:3" x14ac:dyDescent="0.25">
      <c r="B203" s="13"/>
      <c r="C203" s="58"/>
    </row>
    <row r="204" spans="2:3" x14ac:dyDescent="0.25">
      <c r="B204" s="13"/>
      <c r="C204" s="58"/>
    </row>
    <row r="205" spans="2:3" x14ac:dyDescent="0.25">
      <c r="B205" s="13"/>
      <c r="C205" s="58"/>
    </row>
    <row r="206" spans="2:3" x14ac:dyDescent="0.25">
      <c r="B206" s="13"/>
      <c r="C206" s="58"/>
    </row>
    <row r="207" spans="2:3" x14ac:dyDescent="0.25">
      <c r="B207" s="13"/>
      <c r="C207" s="58"/>
    </row>
    <row r="208" spans="2:3" x14ac:dyDescent="0.25">
      <c r="B208" s="13"/>
      <c r="C208" s="58"/>
    </row>
    <row r="209" spans="2:3" x14ac:dyDescent="0.25">
      <c r="B209" s="13"/>
      <c r="C209" s="58"/>
    </row>
    <row r="210" spans="2:3" x14ac:dyDescent="0.25">
      <c r="B210" s="13"/>
      <c r="C210" s="58"/>
    </row>
    <row r="211" spans="2:3" x14ac:dyDescent="0.25">
      <c r="B211" s="13"/>
      <c r="C211" s="58"/>
    </row>
    <row r="212" spans="2:3" x14ac:dyDescent="0.25">
      <c r="B212" s="13"/>
      <c r="C212" s="58"/>
    </row>
    <row r="213" spans="2:3" x14ac:dyDescent="0.25">
      <c r="B213" s="13"/>
      <c r="C213" s="58"/>
    </row>
    <row r="214" spans="2:3" x14ac:dyDescent="0.25">
      <c r="B214" s="13"/>
      <c r="C214" s="58"/>
    </row>
    <row r="215" spans="2:3" x14ac:dyDescent="0.25">
      <c r="B215" s="13"/>
      <c r="C215" s="58"/>
    </row>
    <row r="216" spans="2:3" x14ac:dyDescent="0.25">
      <c r="B216" s="13"/>
      <c r="C216" s="58"/>
    </row>
    <row r="217" spans="2:3" x14ac:dyDescent="0.25">
      <c r="B217" s="13"/>
      <c r="C217" s="58"/>
    </row>
    <row r="218" spans="2:3" x14ac:dyDescent="0.25">
      <c r="B218" s="17"/>
      <c r="C218" s="58"/>
    </row>
    <row r="219" spans="2:3" x14ac:dyDescent="0.25">
      <c r="B219" s="13"/>
      <c r="C219" s="58"/>
    </row>
    <row r="220" spans="2:3" x14ac:dyDescent="0.25">
      <c r="B220" s="13"/>
      <c r="C220" s="58"/>
    </row>
    <row r="221" spans="2:3" x14ac:dyDescent="0.25">
      <c r="B221" s="13"/>
      <c r="C221" s="58"/>
    </row>
    <row r="222" spans="2:3" x14ac:dyDescent="0.25">
      <c r="B222" s="13"/>
      <c r="C222" s="58"/>
    </row>
    <row r="223" spans="2:3" x14ac:dyDescent="0.25">
      <c r="B223" s="13"/>
      <c r="C223" s="58"/>
    </row>
    <row r="224" spans="2:3" x14ac:dyDescent="0.25">
      <c r="B224" s="13"/>
      <c r="C224" s="58"/>
    </row>
    <row r="225" spans="2:3" x14ac:dyDescent="0.25">
      <c r="B225" s="13"/>
      <c r="C225" s="58"/>
    </row>
    <row r="226" spans="2:3" x14ac:dyDescent="0.25">
      <c r="B226" s="13"/>
      <c r="C226" s="58"/>
    </row>
    <row r="227" spans="2:3" x14ac:dyDescent="0.25">
      <c r="B227" s="13"/>
      <c r="C227" s="58"/>
    </row>
    <row r="228" spans="2:3" x14ac:dyDescent="0.25">
      <c r="B228" s="13"/>
      <c r="C228" s="58"/>
    </row>
    <row r="229" spans="2:3" x14ac:dyDescent="0.25">
      <c r="B229" s="13"/>
      <c r="C229" s="58"/>
    </row>
    <row r="230" spans="2:3" x14ac:dyDescent="0.25">
      <c r="B230" s="13"/>
      <c r="C230" s="58"/>
    </row>
    <row r="231" spans="2:3" x14ac:dyDescent="0.25">
      <c r="B231" s="13"/>
      <c r="C231" s="58"/>
    </row>
    <row r="232" spans="2:3" x14ac:dyDescent="0.25">
      <c r="B232" s="13"/>
      <c r="C232" s="58"/>
    </row>
    <row r="233" spans="2:3" x14ac:dyDescent="0.25">
      <c r="B233" s="13"/>
      <c r="C233" s="58"/>
    </row>
    <row r="234" spans="2:3" x14ac:dyDescent="0.25">
      <c r="B234" s="13"/>
      <c r="C234" s="58"/>
    </row>
    <row r="235" spans="2:3" x14ac:dyDescent="0.25">
      <c r="B235" s="13"/>
      <c r="C235" s="58"/>
    </row>
    <row r="236" spans="2:3" x14ac:dyDescent="0.25">
      <c r="B236" s="13"/>
      <c r="C236" s="58"/>
    </row>
    <row r="237" spans="2:3" x14ac:dyDescent="0.25">
      <c r="B237" s="13"/>
      <c r="C237" s="58"/>
    </row>
    <row r="238" spans="2:3" x14ac:dyDescent="0.25">
      <c r="B238" s="13"/>
      <c r="C238" s="58"/>
    </row>
    <row r="239" spans="2:3" x14ac:dyDescent="0.25">
      <c r="B239" s="13"/>
      <c r="C239" s="58"/>
    </row>
    <row r="240" spans="2:3" x14ac:dyDescent="0.25">
      <c r="B240" s="13"/>
      <c r="C240" s="58"/>
    </row>
    <row r="241" spans="2:3" x14ac:dyDescent="0.25">
      <c r="B241" s="13"/>
      <c r="C241" s="58"/>
    </row>
    <row r="242" spans="2:3" x14ac:dyDescent="0.25">
      <c r="B242" s="13"/>
      <c r="C242" s="58"/>
    </row>
    <row r="243" spans="2:3" x14ac:dyDescent="0.25">
      <c r="B243" s="13"/>
      <c r="C243" s="58"/>
    </row>
    <row r="244" spans="2:3" x14ac:dyDescent="0.25">
      <c r="B244" s="13"/>
      <c r="C244" s="58"/>
    </row>
    <row r="245" spans="2:3" x14ac:dyDescent="0.25">
      <c r="B245" s="13"/>
      <c r="C245" s="58"/>
    </row>
    <row r="246" spans="2:3" x14ac:dyDescent="0.25">
      <c r="B246" s="13"/>
      <c r="C246" s="58"/>
    </row>
    <row r="247" spans="2:3" x14ac:dyDescent="0.25">
      <c r="B247" s="13"/>
      <c r="C247" s="58"/>
    </row>
    <row r="248" spans="2:3" x14ac:dyDescent="0.25">
      <c r="B248" s="13"/>
      <c r="C248" s="58"/>
    </row>
    <row r="249" spans="2:3" x14ac:dyDescent="0.25">
      <c r="B249" s="13"/>
      <c r="C249" s="58"/>
    </row>
    <row r="250" spans="2:3" x14ac:dyDescent="0.25">
      <c r="B250" s="13"/>
      <c r="C250" s="58"/>
    </row>
    <row r="251" spans="2:3" x14ac:dyDescent="0.25">
      <c r="B251" s="13"/>
      <c r="C251" s="58"/>
    </row>
    <row r="252" spans="2:3" x14ac:dyDescent="0.25">
      <c r="B252" s="13"/>
      <c r="C252" s="58"/>
    </row>
    <row r="253" spans="2:3" x14ac:dyDescent="0.25">
      <c r="B253" s="13"/>
      <c r="C253" s="58"/>
    </row>
    <row r="254" spans="2:3" x14ac:dyDescent="0.25">
      <c r="B254" s="13"/>
      <c r="C254" s="58"/>
    </row>
    <row r="255" spans="2:3" x14ac:dyDescent="0.25">
      <c r="B255" s="13"/>
      <c r="C255" s="58"/>
    </row>
    <row r="256" spans="2:3" x14ac:dyDescent="0.25">
      <c r="B256" s="13"/>
      <c r="C256" s="58"/>
    </row>
    <row r="257" spans="2:3" x14ac:dyDescent="0.25">
      <c r="B257" s="13"/>
      <c r="C257" s="58"/>
    </row>
    <row r="258" spans="2:3" x14ac:dyDescent="0.25">
      <c r="B258" s="15"/>
      <c r="C258" s="58"/>
    </row>
    <row r="259" spans="2:3" x14ac:dyDescent="0.25">
      <c r="B259" s="13"/>
      <c r="C259" s="58"/>
    </row>
    <row r="260" spans="2:3" x14ac:dyDescent="0.25">
      <c r="B260" s="13"/>
      <c r="C260" s="58"/>
    </row>
    <row r="261" spans="2:3" x14ac:dyDescent="0.25">
      <c r="B261" s="13"/>
      <c r="C261" s="58"/>
    </row>
    <row r="262" spans="2:3" x14ac:dyDescent="0.25">
      <c r="B262" s="13"/>
      <c r="C262" s="58"/>
    </row>
    <row r="263" spans="2:3" x14ac:dyDescent="0.25">
      <c r="B263" s="13"/>
      <c r="C263" s="58"/>
    </row>
    <row r="264" spans="2:3" x14ac:dyDescent="0.25">
      <c r="B264" s="13"/>
      <c r="C264" s="58"/>
    </row>
    <row r="265" spans="2:3" x14ac:dyDescent="0.25">
      <c r="B265" s="13"/>
      <c r="C265" s="58"/>
    </row>
    <row r="266" spans="2:3" x14ac:dyDescent="0.25">
      <c r="B266" s="13"/>
      <c r="C266" s="58"/>
    </row>
    <row r="267" spans="2:3" x14ac:dyDescent="0.25">
      <c r="B267" s="13"/>
      <c r="C267" s="58"/>
    </row>
    <row r="268" spans="2:3" x14ac:dyDescent="0.25">
      <c r="B268" s="13"/>
      <c r="C268" s="58"/>
    </row>
    <row r="269" spans="2:3" x14ac:dyDescent="0.25">
      <c r="B269" s="13"/>
      <c r="C269" s="58"/>
    </row>
    <row r="270" spans="2:3" x14ac:dyDescent="0.25">
      <c r="B270" s="13"/>
      <c r="C270" s="58"/>
    </row>
    <row r="271" spans="2:3" x14ac:dyDescent="0.25">
      <c r="B271" s="16"/>
      <c r="C271" s="58"/>
    </row>
    <row r="272" spans="2:3" x14ac:dyDescent="0.25">
      <c r="B272" s="13"/>
      <c r="C272" s="58"/>
    </row>
    <row r="273" spans="2:3" x14ac:dyDescent="0.25">
      <c r="B273" s="13"/>
      <c r="C273" s="58"/>
    </row>
  </sheetData>
  <mergeCells count="6">
    <mergeCell ref="C1:C273"/>
    <mergeCell ref="D4:I13"/>
    <mergeCell ref="D3:I3"/>
    <mergeCell ref="D14:I14"/>
    <mergeCell ref="D15:I34"/>
    <mergeCell ref="D1:I2"/>
  </mergeCells>
  <hyperlinks>
    <hyperlink ref="A6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BF40"/>
  <sheetViews>
    <sheetView topLeftCell="O1" zoomScale="70" zoomScaleNormal="70" workbookViewId="0">
      <selection activeCell="Q4" sqref="Q4"/>
    </sheetView>
  </sheetViews>
  <sheetFormatPr defaultRowHeight="15" x14ac:dyDescent="0.25"/>
  <cols>
    <col min="1" max="1" width="17.28515625" customWidth="1"/>
    <col min="2" max="2" width="18.7109375" customWidth="1"/>
    <col min="3" max="3" width="11.28515625" customWidth="1"/>
    <col min="4" max="4" width="34" customWidth="1"/>
    <col min="5" max="5" width="56.42578125" customWidth="1"/>
    <col min="6" max="6" width="23.28515625" customWidth="1"/>
    <col min="7" max="7" width="29.140625" customWidth="1"/>
    <col min="8" max="8" width="65.85546875" customWidth="1"/>
    <col min="9" max="9" width="19.140625" customWidth="1"/>
    <col min="10" max="10" width="55.85546875" hidden="1" customWidth="1"/>
    <col min="11" max="11" width="24.5703125" hidden="1" customWidth="1"/>
    <col min="12" max="12" width="38" customWidth="1"/>
    <col min="13" max="13" width="34.7109375" customWidth="1"/>
    <col min="14" max="14" width="28.140625" customWidth="1"/>
    <col min="15" max="15" width="34.140625" customWidth="1"/>
    <col min="16" max="16" width="42.28515625" customWidth="1"/>
    <col min="17" max="17" width="22.28515625" customWidth="1"/>
    <col min="18" max="18" width="24" customWidth="1"/>
    <col min="19" max="19" width="28.5703125" customWidth="1"/>
    <col min="20" max="20" width="25.28515625" customWidth="1"/>
    <col min="21" max="21" width="36.85546875" customWidth="1"/>
    <col min="22" max="22" width="36" customWidth="1"/>
    <col min="23" max="23" width="60" customWidth="1"/>
    <col min="24" max="24" width="15.140625" customWidth="1"/>
    <col min="25" max="25" width="62.5703125" customWidth="1"/>
    <col min="26" max="26" width="13.85546875" customWidth="1"/>
    <col min="27" max="27" width="62.28515625" customWidth="1"/>
    <col min="28" max="28" width="11.28515625" customWidth="1"/>
    <col min="29" max="29" width="68.85546875" customWidth="1"/>
    <col min="30" max="30" width="11.28515625" customWidth="1"/>
    <col min="31" max="31" width="38.42578125" customWidth="1"/>
    <col min="32" max="32" width="48.42578125" customWidth="1"/>
    <col min="33" max="33" width="23.42578125" customWidth="1"/>
    <col min="34" max="34" width="11.42578125" customWidth="1"/>
    <col min="35" max="35" width="52.5703125" customWidth="1"/>
    <col min="36" max="36" width="58.5703125" customWidth="1"/>
    <col min="37" max="37" width="64.28515625" customWidth="1"/>
    <col min="38" max="38" width="70" customWidth="1"/>
    <col min="39" max="39" width="32" customWidth="1"/>
    <col min="40" max="40" width="31.7109375" customWidth="1"/>
    <col min="41" max="41" width="35.85546875" customWidth="1"/>
    <col min="42" max="42" width="33.85546875" customWidth="1"/>
    <col min="43" max="44" width="11.28515625" customWidth="1"/>
    <col min="45" max="45" width="62.5703125" customWidth="1"/>
    <col min="46" max="47" width="11.28515625" customWidth="1"/>
  </cols>
  <sheetData>
    <row r="1" spans="1:58" ht="38.25" customHeight="1" x14ac:dyDescent="0.25">
      <c r="A1">
        <v>2</v>
      </c>
    </row>
    <row r="2" spans="1:58" ht="43.5" customHeight="1" x14ac:dyDescent="0.25">
      <c r="B2" s="46"/>
      <c r="C2" s="46"/>
      <c r="D2" s="22" t="s">
        <v>4</v>
      </c>
      <c r="E2" s="22" t="s">
        <v>3</v>
      </c>
      <c r="F2" s="22" t="s">
        <v>101</v>
      </c>
      <c r="G2" s="47" t="s">
        <v>102</v>
      </c>
      <c r="H2" s="22" t="s">
        <v>103</v>
      </c>
      <c r="I2" s="22" t="s">
        <v>104</v>
      </c>
      <c r="J2" s="52" t="s">
        <v>105</v>
      </c>
      <c r="K2" s="52" t="s">
        <v>106</v>
      </c>
      <c r="L2" s="22" t="s">
        <v>107</v>
      </c>
      <c r="M2" s="22" t="s">
        <v>108</v>
      </c>
      <c r="N2" s="22" t="s">
        <v>109</v>
      </c>
      <c r="O2" s="22" t="s">
        <v>110</v>
      </c>
      <c r="P2" s="22" t="s">
        <v>111</v>
      </c>
      <c r="Q2" s="22" t="s">
        <v>33</v>
      </c>
      <c r="R2" s="22" t="s">
        <v>34</v>
      </c>
      <c r="S2" s="22" t="s">
        <v>35</v>
      </c>
      <c r="T2" s="22" t="s">
        <v>112</v>
      </c>
      <c r="U2" s="44" t="s">
        <v>113</v>
      </c>
      <c r="V2" s="54"/>
      <c r="W2" s="55"/>
      <c r="X2" s="54"/>
      <c r="Y2" s="55"/>
      <c r="Z2" s="54"/>
      <c r="AA2" s="55"/>
      <c r="AB2" s="54"/>
      <c r="AC2" s="55"/>
      <c r="AD2" s="54"/>
      <c r="AE2" s="54"/>
      <c r="AF2" s="54"/>
      <c r="AG2" s="54"/>
      <c r="AH2" s="54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29"/>
      <c r="AW2" s="29"/>
      <c r="AX2" s="29"/>
      <c r="AY2" s="29"/>
      <c r="AZ2" s="29"/>
    </row>
    <row r="3" spans="1:58" x14ac:dyDescent="0.25">
      <c r="A3" s="29" t="s">
        <v>41</v>
      </c>
      <c r="B3" s="29"/>
      <c r="C3" s="30"/>
      <c r="D3" s="30" t="str">
        <f>D6</f>
        <v>153817_RESIDENCIA UNIV 2 R2 SET 0002372347</v>
      </c>
      <c r="E3" s="24">
        <f>E6</f>
        <v>2372347</v>
      </c>
      <c r="F3" s="29" t="str">
        <f>F6</f>
        <v>Trifásico</v>
      </c>
      <c r="G3" s="31">
        <f>VALUE(SUBSTITUTE(TRIM(INVERTER(LEFT(INVERTER(G6),SEARCH(" ",INVERTER(G6))))),".",","))</f>
        <v>832.3</v>
      </c>
      <c r="H3" s="32">
        <f>VALUE(LEFT(SUBSTITUTE(H6,"Consumo Ativo(kWh) ",""),SEARCH(" ",SUBSTITUTE(H6,"Consumo Ativo Na Ponta(kWh ",""))))</f>
        <v>1387</v>
      </c>
      <c r="I3" s="38">
        <f>VALUE(TRIM(INVERTER(LEFT(INVERTER(H6),SEARCH(" ",INVERTER(H6))))))</f>
        <v>692.71</v>
      </c>
      <c r="J3" s="32">
        <v>0</v>
      </c>
      <c r="K3" s="38">
        <v>0</v>
      </c>
      <c r="L3" s="38">
        <f>VALUE(TRIM(INVERTER(LEFT(INVERTER(L6),SEARCH(" ",INVERTER(L6))))))</f>
        <v>60.1</v>
      </c>
      <c r="M3" s="38" t="str">
        <f>SUBSTITUTE(TRIM(INVERTER(LEFT(INVERTER(M6),SEARCH(" ",INVERTER(M6))))),"TOTAL","")</f>
        <v>47,06</v>
      </c>
      <c r="N3" s="38">
        <f>SUM(N16:N20)</f>
        <v>46.3</v>
      </c>
      <c r="O3" s="26">
        <f>IF(O6=0,0,VALUE(TRIM(INVERTER(LEFT(INVERTER(O6),SEARCH(" ",INVERTER(O6)))))))</f>
        <v>0</v>
      </c>
      <c r="P3" s="26">
        <f>IF(P6=0,0,VALUE(TRIM(INVERTER(LEFT(INVERTER(P6),SEARCH(" ",INVERTER(P6)))))))</f>
        <v>0</v>
      </c>
      <c r="Q3" s="29" t="str">
        <f>LEFT(RIGHT(Q6,LEN(Q6)-SEARCH(" ",Q6,SEARCH(" ",Q6)+1)),10)</f>
        <v>27/11/2015</v>
      </c>
      <c r="R3" s="30" t="str">
        <f>LEFT(RIGHT(RIGHT(Q6,LEN(Q6)-SEARCH(" ",Q6,SEARCH(" ",Q6)+1)),LEN(RIGHT(Q6,LEN(Q6)-SEARCH(" ",Q6,SEARCH(" ",Q6)+1)))-SEARCH(" ",RIGHT(Q6,LEN(Q6)-SEARCH(" ",Q6,SEARCH(" ",Q6)+1)),12)),10)</f>
        <v>29/12/2015</v>
      </c>
      <c r="S3" s="29">
        <f t="shared" ref="S3" si="0">R3-Q3</f>
        <v>32</v>
      </c>
      <c r="T3" s="29">
        <f>VALUE(LEFT(Q6,SEARCH(" ",Q6)))</f>
        <v>31427576</v>
      </c>
      <c r="U3" s="38">
        <f>VALUE(TRIM(INVERTER(LEFT(INVERTER(U6),SEARCH(" ",INVERTER(U6))))))</f>
        <v>80.25</v>
      </c>
      <c r="V3" s="29"/>
      <c r="W3" s="32"/>
      <c r="X3" s="26"/>
      <c r="Y3" s="32"/>
      <c r="Z3" s="26"/>
      <c r="AA3" s="32"/>
      <c r="AB3" s="26"/>
      <c r="AC3" s="32"/>
      <c r="AD3" s="26"/>
      <c r="AE3" s="26"/>
      <c r="AF3" s="26"/>
      <c r="AG3" s="26"/>
      <c r="AH3" s="26"/>
      <c r="AI3" s="27"/>
      <c r="AJ3" s="27"/>
      <c r="AK3" s="32"/>
      <c r="AL3" s="32"/>
      <c r="AM3" s="28"/>
      <c r="AN3" s="28"/>
      <c r="AO3" s="33"/>
      <c r="AP3" s="33"/>
      <c r="AQ3" s="34"/>
      <c r="AR3" s="35"/>
      <c r="AS3" s="32"/>
      <c r="AT3" s="32"/>
      <c r="AU3" s="32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</row>
    <row r="4" spans="1:58" x14ac:dyDescent="0.25">
      <c r="A4" s="29" t="s">
        <v>42</v>
      </c>
      <c r="B4" s="29"/>
      <c r="C4" s="30"/>
      <c r="D4" s="29"/>
      <c r="E4" s="24"/>
      <c r="F4" s="29"/>
      <c r="G4" s="25"/>
      <c r="H4" s="29"/>
      <c r="I4" s="31"/>
      <c r="J4" s="32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32"/>
      <c r="X4" s="29"/>
      <c r="Y4" s="32"/>
      <c r="Z4" s="29"/>
      <c r="AA4" s="32"/>
      <c r="AB4" s="29"/>
      <c r="AC4" s="32"/>
      <c r="AD4" s="29"/>
      <c r="AE4" s="29"/>
      <c r="AF4" s="29"/>
      <c r="AG4" s="29"/>
      <c r="AH4" s="29"/>
      <c r="AI4" s="27"/>
      <c r="AJ4" s="27"/>
      <c r="AK4" s="32"/>
      <c r="AL4" s="32"/>
      <c r="AM4" s="28"/>
      <c r="AN4" s="28"/>
      <c r="AO4" s="33"/>
      <c r="AP4" s="33"/>
      <c r="AQ4" s="34"/>
      <c r="AR4" s="35"/>
      <c r="AS4" s="32"/>
      <c r="AT4" s="32"/>
      <c r="AU4" s="32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</row>
    <row r="5" spans="1:58" hidden="1" x14ac:dyDescent="0.25">
      <c r="A5" s="29"/>
      <c r="B5" s="29"/>
      <c r="C5" s="30"/>
      <c r="D5" s="36"/>
      <c r="E5" s="24"/>
      <c r="F5" s="29"/>
      <c r="G5" s="36"/>
      <c r="H5" s="29"/>
      <c r="I5" s="31"/>
      <c r="J5" s="36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36"/>
      <c r="X5" s="29"/>
      <c r="Y5" s="36"/>
      <c r="Z5" s="29"/>
      <c r="AA5" s="36"/>
      <c r="AB5" s="29"/>
      <c r="AC5" s="36"/>
      <c r="AD5" s="29"/>
      <c r="AE5" s="36"/>
      <c r="AF5" s="29"/>
      <c r="AG5" s="36"/>
      <c r="AH5" s="29"/>
      <c r="AI5" s="36"/>
      <c r="AJ5" s="36"/>
      <c r="AK5" s="36"/>
      <c r="AL5" s="36"/>
      <c r="AM5" s="28"/>
      <c r="AN5" s="28"/>
      <c r="AO5" s="36"/>
      <c r="AP5" s="36"/>
      <c r="AQ5" s="34"/>
      <c r="AR5" s="35"/>
      <c r="AS5" s="36"/>
      <c r="AT5" s="32"/>
      <c r="AU5" s="32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</row>
    <row r="6" spans="1:58" hidden="1" x14ac:dyDescent="0.25">
      <c r="A6" s="29"/>
      <c r="B6" s="29"/>
      <c r="C6" s="30"/>
      <c r="D6" s="39" t="s">
        <v>43</v>
      </c>
      <c r="E6" s="13">
        <v>2372347</v>
      </c>
      <c r="F6" s="13" t="s">
        <v>114</v>
      </c>
      <c r="G6" s="13" t="s">
        <v>158</v>
      </c>
      <c r="H6" s="13" t="s">
        <v>143</v>
      </c>
      <c r="I6" s="15"/>
      <c r="J6" s="12"/>
      <c r="K6" s="13"/>
      <c r="L6" s="13" t="s">
        <v>145</v>
      </c>
      <c r="M6" s="13" t="s">
        <v>157</v>
      </c>
      <c r="O6" s="29">
        <v>0</v>
      </c>
      <c r="P6" s="29"/>
      <c r="Q6" s="13" t="s">
        <v>195</v>
      </c>
      <c r="R6" s="29"/>
      <c r="S6" s="13"/>
      <c r="T6" s="29"/>
      <c r="U6" s="13" t="s">
        <v>144</v>
      </c>
      <c r="V6" s="29"/>
      <c r="W6" s="36"/>
      <c r="X6" s="29"/>
      <c r="Y6" s="36"/>
      <c r="Z6" s="29"/>
      <c r="AA6" s="36"/>
      <c r="AB6" s="29"/>
      <c r="AC6" s="36"/>
      <c r="AD6" s="29"/>
      <c r="AE6" s="36"/>
      <c r="AF6" s="29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4"/>
      <c r="AR6" s="35"/>
      <c r="AS6" s="36"/>
      <c r="AT6" s="32"/>
      <c r="AU6" s="32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</row>
    <row r="7" spans="1:58" hidden="1" x14ac:dyDescent="0.25">
      <c r="A7" s="29"/>
      <c r="B7" s="29"/>
      <c r="C7" s="29"/>
      <c r="D7" s="29"/>
      <c r="E7" s="29"/>
      <c r="F7" s="29"/>
      <c r="G7" s="29"/>
      <c r="H7" s="29"/>
      <c r="I7" s="31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32"/>
      <c r="AL7" s="32"/>
      <c r="AM7" s="29"/>
      <c r="AN7" s="29"/>
      <c r="AO7" s="29"/>
      <c r="AP7" s="29"/>
      <c r="AQ7" s="29"/>
      <c r="AR7" s="35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</row>
    <row r="8" spans="1:58" hidden="1" x14ac:dyDescent="0.25">
      <c r="A8" s="29"/>
      <c r="B8" s="29"/>
      <c r="C8" s="29"/>
      <c r="D8" s="29"/>
      <c r="E8" s="29"/>
      <c r="F8" s="29"/>
      <c r="G8" s="29"/>
      <c r="H8" s="29"/>
      <c r="I8" s="31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32"/>
      <c r="AL8" s="32"/>
      <c r="AM8" s="29"/>
      <c r="AN8" s="29"/>
      <c r="AO8" s="29"/>
      <c r="AP8" s="29"/>
      <c r="AQ8" s="29"/>
      <c r="AR8" s="35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</row>
    <row r="9" spans="1:58" hidden="1" x14ac:dyDescent="0.25">
      <c r="A9" s="29"/>
      <c r="B9" s="29"/>
      <c r="C9" s="29"/>
      <c r="D9" s="39" t="s">
        <v>43</v>
      </c>
      <c r="E9" s="40" t="s">
        <v>44</v>
      </c>
      <c r="F9" s="48" t="s">
        <v>114</v>
      </c>
      <c r="G9" s="49"/>
      <c r="H9" s="48">
        <v>1387</v>
      </c>
      <c r="I9" s="50">
        <f>ROUNDDOWN(H9*X14,2)</f>
        <v>0</v>
      </c>
      <c r="J9" s="48">
        <v>0</v>
      </c>
      <c r="K9" s="50">
        <f>ROUNDDOWN(J9*X15,2)</f>
        <v>0</v>
      </c>
      <c r="L9" s="50">
        <v>60.1</v>
      </c>
      <c r="M9" s="50">
        <v>47.06</v>
      </c>
      <c r="N9" s="48">
        <f>1.47+11.06+1.31+14.01+18.45</f>
        <v>46.3</v>
      </c>
      <c r="O9" s="50"/>
      <c r="P9" s="48"/>
      <c r="Q9" s="39">
        <v>42335</v>
      </c>
      <c r="R9" s="39">
        <v>42367</v>
      </c>
      <c r="S9" s="51">
        <f t="shared" ref="S9" si="1">R9-Q9</f>
        <v>32</v>
      </c>
      <c r="T9" s="48">
        <v>31427576</v>
      </c>
      <c r="U9" s="53">
        <v>80.25</v>
      </c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5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</row>
    <row r="10" spans="1:58" hidden="1" x14ac:dyDescent="0.25">
      <c r="A10" s="29"/>
      <c r="B10" s="29"/>
      <c r="C10" s="37"/>
      <c r="D10" s="23"/>
      <c r="E10" s="24"/>
      <c r="F10" s="34"/>
      <c r="G10" s="25"/>
      <c r="H10" s="32"/>
      <c r="I10" s="31"/>
      <c r="J10" s="32"/>
      <c r="K10" s="26"/>
      <c r="L10" s="32"/>
      <c r="M10" s="26"/>
      <c r="N10" s="13" t="s">
        <v>151</v>
      </c>
      <c r="O10" s="34"/>
      <c r="P10" s="26"/>
      <c r="Q10" s="34"/>
      <c r="R10" s="26"/>
      <c r="S10" s="32"/>
      <c r="T10" s="26"/>
      <c r="U10" s="32"/>
      <c r="V10" s="26"/>
      <c r="W10" s="32"/>
      <c r="X10" s="26"/>
      <c r="Y10" s="32"/>
      <c r="Z10" s="26"/>
      <c r="AA10" s="32"/>
      <c r="AB10" s="26"/>
      <c r="AC10" s="32"/>
      <c r="AD10" s="26"/>
      <c r="AE10" s="26"/>
      <c r="AF10" s="26"/>
      <c r="AG10" s="26"/>
      <c r="AH10" s="26"/>
      <c r="AI10" s="27"/>
      <c r="AJ10" s="27"/>
      <c r="AK10" s="32"/>
      <c r="AL10" s="32"/>
      <c r="AM10" s="28"/>
      <c r="AN10" s="28"/>
      <c r="AO10" s="33"/>
      <c r="AP10" s="33"/>
      <c r="AQ10" s="34"/>
      <c r="AR10" s="35"/>
      <c r="AS10" s="32"/>
      <c r="AT10" s="32"/>
      <c r="AU10" s="32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</row>
    <row r="11" spans="1:58" hidden="1" x14ac:dyDescent="0.25">
      <c r="A11" s="29"/>
      <c r="B11" s="29"/>
      <c r="C11" s="29"/>
      <c r="D11" s="29"/>
      <c r="E11" s="29">
        <v>2372347</v>
      </c>
      <c r="F11" s="29"/>
      <c r="G11" s="29"/>
      <c r="H11" s="29"/>
      <c r="I11" s="29"/>
      <c r="J11" s="29"/>
      <c r="K11" s="29"/>
      <c r="L11" s="29"/>
      <c r="M11" s="29"/>
      <c r="N11" s="13" t="s">
        <v>149</v>
      </c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36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</row>
    <row r="12" spans="1:58" hidden="1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13" t="s">
        <v>147</v>
      </c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36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</row>
    <row r="13" spans="1:58" hidden="1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13" t="s">
        <v>156</v>
      </c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36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</row>
    <row r="14" spans="1:58" hidden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13" t="s">
        <v>154</v>
      </c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36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</row>
    <row r="15" spans="1:58" hidden="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36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</row>
    <row r="16" spans="1:58" hidden="1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13">
        <f>VALUE(SUBSTITUTE(TRIM(INVERTER(LEFT(INVERTER(N10),SEARCH(" ",INVERTER(N10))))),".",","))</f>
        <v>1.31</v>
      </c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36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hidden="1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13">
        <f>VALUE(SUBSTITUTE(TRIM(INVERTER(LEFT(INVERTER(N11),SEARCH(" ",INVERTER(N11))))),".",","))</f>
        <v>11.06</v>
      </c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hidden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13">
        <f>VALUE(SUBSTITUTE(TRIM(INVERTER(LEFT(INVERTER(N12),SEARCH(" ",INVERTER(N12))))),".",","))</f>
        <v>1.47</v>
      </c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hidden="1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13">
        <f>VALUE(SUBSTITUTE(TRIM(INVERTER(LEFT(INVERTER(N13),SEARCH(" ",INVERTER(N13))))),".",","))</f>
        <v>18.45</v>
      </c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</row>
    <row r="20" spans="1:58" hidden="1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13">
        <f>VALUE(SUBSTITUTE(TRIM(INVERTER(LEFT(INVERTER(N14),SEARCH(" ",INVERTER(N14))))),".",","))</f>
        <v>14.01</v>
      </c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</row>
    <row r="21" spans="1:58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</row>
    <row r="22" spans="1:58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</row>
    <row r="23" spans="1:58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</row>
    <row r="24" spans="1:58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</row>
    <row r="25" spans="1:58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</row>
    <row r="26" spans="1:58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</row>
    <row r="27" spans="1:58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</row>
    <row r="28" spans="1:58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</row>
    <row r="29" spans="1:58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</row>
    <row r="30" spans="1:58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</row>
    <row r="31" spans="1:58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</row>
    <row r="32" spans="1:58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</row>
    <row r="33" spans="1:58" ht="17.25" customHeight="1" x14ac:dyDescent="0.25">
      <c r="A33" s="29"/>
      <c r="B33" s="29"/>
      <c r="C33" s="56"/>
      <c r="D33" s="56"/>
      <c r="E33" s="57"/>
      <c r="V33" s="29"/>
      <c r="W33" s="55"/>
      <c r="X33" s="45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</row>
    <row r="34" spans="1:58" x14ac:dyDescent="0.25">
      <c r="A34" s="29"/>
      <c r="B34" s="29"/>
      <c r="C34" s="29"/>
      <c r="D34" s="42"/>
      <c r="E34" s="29"/>
      <c r="F34" s="29"/>
      <c r="G34" s="29"/>
      <c r="H34" s="43"/>
      <c r="I34" s="29"/>
      <c r="J34" s="43"/>
      <c r="K34" s="29"/>
      <c r="L34" s="29"/>
      <c r="M34" s="43"/>
      <c r="N34" s="43"/>
      <c r="O34" s="29"/>
      <c r="P34" s="29"/>
      <c r="Q34" s="29"/>
      <c r="R34" s="30"/>
      <c r="S34" s="30"/>
      <c r="T34" s="29"/>
      <c r="U34" s="29"/>
      <c r="V34" s="43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</row>
    <row r="35" spans="1:58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</row>
    <row r="36" spans="1:58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</row>
    <row r="37" spans="1:58" x14ac:dyDescent="0.25">
      <c r="A37" s="29"/>
      <c r="B37" s="29"/>
      <c r="C37" s="29"/>
      <c r="D37" s="42"/>
      <c r="E37" s="29"/>
      <c r="F37" s="29"/>
      <c r="G37" s="29"/>
      <c r="H37" s="43"/>
      <c r="I37" s="29"/>
      <c r="J37" s="43"/>
      <c r="K37" s="29"/>
      <c r="L37" s="29"/>
      <c r="M37" s="43"/>
      <c r="N37" s="43"/>
      <c r="O37" s="29"/>
      <c r="P37" s="29"/>
      <c r="Q37" s="29"/>
      <c r="R37" s="30"/>
      <c r="S37" s="30"/>
      <c r="T37" s="29"/>
      <c r="U37" s="29"/>
      <c r="V37" s="43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</row>
    <row r="38" spans="1:58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</row>
    <row r="39" spans="1:58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</row>
    <row r="40" spans="1:58" x14ac:dyDescent="0.25"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</row>
  </sheetData>
  <conditionalFormatting sqref="O10">
    <cfRule type="cellIs" dxfId="2" priority="1" operator="lessThan">
      <formula>5</formula>
    </cfRule>
    <cfRule type="cellIs" dxfId="1" priority="2" operator="equal">
      <formula>5</formula>
    </cfRule>
    <cfRule type="cellIs" dxfId="0" priority="3" operator="greaterThan">
      <formula>5</formula>
    </cfRule>
  </conditionalFormatting>
  <dataValidations count="1">
    <dataValidation type="list" allowBlank="1" showErrorMessage="1" sqref="F10:H10">
      <formula1>$BE$796:$BE$801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UTO">
                <anchor mov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1</xdr:col>
                    <xdr:colOff>1238250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_xludf.Clear">
                <anchor moveWithCells="1" sizeWithCells="1">
                  <from>
                    <xdr:col>1</xdr:col>
                    <xdr:colOff>19050</xdr:colOff>
                    <xdr:row>3</xdr:row>
                    <xdr:rowOff>28575</xdr:rowOff>
                  </from>
                  <to>
                    <xdr:col>1</xdr:col>
                    <xdr:colOff>1238250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55"/>
  <sheetViews>
    <sheetView tabSelected="1" workbookViewId="0">
      <selection activeCell="E3" sqref="E3"/>
    </sheetView>
  </sheetViews>
  <sheetFormatPr defaultRowHeight="15" x14ac:dyDescent="0.25"/>
  <cols>
    <col min="1" max="1" width="67.28515625" customWidth="1"/>
    <col min="2" max="3" width="40.140625" customWidth="1"/>
  </cols>
  <sheetData>
    <row r="1" spans="1:4" x14ac:dyDescent="0.25">
      <c r="A1" s="10" t="s">
        <v>6</v>
      </c>
    </row>
    <row r="2" spans="1:4" x14ac:dyDescent="0.25">
      <c r="A2" s="9" t="s">
        <v>4</v>
      </c>
      <c r="B2" s="9" t="s">
        <v>3</v>
      </c>
      <c r="C2" s="9" t="s">
        <v>2</v>
      </c>
    </row>
    <row r="3" spans="1:4" x14ac:dyDescent="0.25">
      <c r="A3" s="39" t="s">
        <v>43</v>
      </c>
      <c r="B3" s="4" t="s">
        <v>44</v>
      </c>
      <c r="C3" s="11">
        <v>15180714000287</v>
      </c>
      <c r="D3">
        <v>1</v>
      </c>
    </row>
    <row r="4" spans="1:4" x14ac:dyDescent="0.25">
      <c r="A4" s="41" t="s">
        <v>45</v>
      </c>
      <c r="B4" s="4">
        <v>3598276</v>
      </c>
      <c r="C4" s="11">
        <v>15180714000287</v>
      </c>
      <c r="D4">
        <v>1</v>
      </c>
    </row>
    <row r="5" spans="1:4" x14ac:dyDescent="0.25">
      <c r="A5" s="39" t="s">
        <v>46</v>
      </c>
      <c r="B5" s="4">
        <v>3616940</v>
      </c>
      <c r="C5" s="11">
        <v>15180714000287</v>
      </c>
      <c r="D5">
        <v>1</v>
      </c>
    </row>
    <row r="6" spans="1:4" x14ac:dyDescent="0.25">
      <c r="A6" s="41" t="s">
        <v>47</v>
      </c>
      <c r="B6" s="4">
        <v>3618919</v>
      </c>
      <c r="C6" s="11">
        <v>15180714000287</v>
      </c>
      <c r="D6">
        <v>1</v>
      </c>
    </row>
    <row r="7" spans="1:4" x14ac:dyDescent="0.25">
      <c r="A7" s="39" t="s">
        <v>48</v>
      </c>
      <c r="B7" s="4">
        <v>3618951</v>
      </c>
      <c r="C7" s="11">
        <v>15180714000287</v>
      </c>
      <c r="D7">
        <v>1</v>
      </c>
    </row>
    <row r="8" spans="1:4" x14ac:dyDescent="0.25">
      <c r="A8" s="41" t="s">
        <v>49</v>
      </c>
      <c r="B8" s="4">
        <v>3619001</v>
      </c>
      <c r="C8" s="3">
        <v>15180714000287</v>
      </c>
      <c r="D8">
        <v>1</v>
      </c>
    </row>
    <row r="9" spans="1:4" x14ac:dyDescent="0.25">
      <c r="A9" s="39" t="s">
        <v>50</v>
      </c>
      <c r="B9" s="4">
        <v>3619010</v>
      </c>
      <c r="C9" s="3">
        <v>15180714000287</v>
      </c>
      <c r="D9">
        <v>1</v>
      </c>
    </row>
    <row r="10" spans="1:4" x14ac:dyDescent="0.25">
      <c r="A10" s="41" t="s">
        <v>51</v>
      </c>
      <c r="B10" s="4">
        <v>3619400</v>
      </c>
      <c r="C10" s="3">
        <v>15180714000287</v>
      </c>
      <c r="D10">
        <v>1</v>
      </c>
    </row>
    <row r="11" spans="1:4" x14ac:dyDescent="0.25">
      <c r="A11" s="39" t="s">
        <v>47</v>
      </c>
      <c r="B11" s="4">
        <v>3619656</v>
      </c>
      <c r="C11" s="3">
        <v>15180714000287</v>
      </c>
      <c r="D11">
        <v>1</v>
      </c>
    </row>
    <row r="12" spans="1:4" x14ac:dyDescent="0.25">
      <c r="A12" s="41" t="s">
        <v>52</v>
      </c>
      <c r="B12" s="4" t="s">
        <v>53</v>
      </c>
      <c r="C12" s="3">
        <v>15180714000287</v>
      </c>
    </row>
    <row r="13" spans="1:4" x14ac:dyDescent="0.25">
      <c r="A13" s="39" t="s">
        <v>54</v>
      </c>
      <c r="B13" s="4" t="s">
        <v>55</v>
      </c>
      <c r="C13" s="3">
        <v>15180714000287</v>
      </c>
    </row>
    <row r="14" spans="1:4" x14ac:dyDescent="0.25">
      <c r="A14" s="41" t="s">
        <v>56</v>
      </c>
      <c r="B14" s="4" t="s">
        <v>57</v>
      </c>
      <c r="C14" s="3">
        <v>15180714000287</v>
      </c>
    </row>
    <row r="15" spans="1:4" x14ac:dyDescent="0.25">
      <c r="A15" s="39" t="s">
        <v>58</v>
      </c>
      <c r="B15" s="4" t="s">
        <v>59</v>
      </c>
      <c r="C15" s="3">
        <v>15180714000287</v>
      </c>
    </row>
    <row r="16" spans="1:4" x14ac:dyDescent="0.25">
      <c r="A16" s="41" t="s">
        <v>60</v>
      </c>
      <c r="B16" s="4" t="s">
        <v>61</v>
      </c>
      <c r="C16" s="3">
        <v>15180714000287</v>
      </c>
    </row>
    <row r="17" spans="1:3" x14ac:dyDescent="0.25">
      <c r="A17" s="39" t="s">
        <v>62</v>
      </c>
      <c r="B17" s="4">
        <v>4242327</v>
      </c>
      <c r="C17" s="3">
        <v>15180714000287</v>
      </c>
    </row>
    <row r="18" spans="1:3" x14ac:dyDescent="0.25">
      <c r="A18" s="41" t="s">
        <v>63</v>
      </c>
      <c r="B18" s="4" t="s">
        <v>64</v>
      </c>
      <c r="C18" s="3">
        <v>15180714000287</v>
      </c>
    </row>
    <row r="19" spans="1:3" x14ac:dyDescent="0.25">
      <c r="A19" s="39" t="s">
        <v>65</v>
      </c>
      <c r="B19" s="4" t="s">
        <v>66</v>
      </c>
      <c r="C19" s="3">
        <v>15180714000287</v>
      </c>
    </row>
    <row r="20" spans="1:3" x14ac:dyDescent="0.25">
      <c r="A20" s="41" t="s">
        <v>67</v>
      </c>
      <c r="B20" s="4" t="s">
        <v>68</v>
      </c>
      <c r="C20" s="3">
        <v>15180714000287</v>
      </c>
    </row>
    <row r="21" spans="1:3" x14ac:dyDescent="0.25">
      <c r="A21" s="39" t="s">
        <v>69</v>
      </c>
      <c r="B21" s="4" t="s">
        <v>70</v>
      </c>
      <c r="C21" s="3">
        <v>15180714000287</v>
      </c>
    </row>
    <row r="22" spans="1:3" x14ac:dyDescent="0.25">
      <c r="A22" s="41" t="s">
        <v>71</v>
      </c>
      <c r="B22" s="4" t="s">
        <v>72</v>
      </c>
      <c r="C22" s="3">
        <v>15180714000287</v>
      </c>
    </row>
    <row r="23" spans="1:3" x14ac:dyDescent="0.25">
      <c r="A23" s="39" t="s">
        <v>73</v>
      </c>
      <c r="B23" s="4" t="s">
        <v>74</v>
      </c>
      <c r="C23" s="3">
        <v>15180714000287</v>
      </c>
    </row>
    <row r="24" spans="1:3" x14ac:dyDescent="0.25">
      <c r="A24" s="41" t="s">
        <v>75</v>
      </c>
      <c r="B24" s="4" t="s">
        <v>76</v>
      </c>
      <c r="C24" s="3">
        <v>15180714000287</v>
      </c>
    </row>
    <row r="25" spans="1:3" x14ac:dyDescent="0.25">
      <c r="A25" s="39" t="s">
        <v>77</v>
      </c>
      <c r="B25" s="4" t="s">
        <v>78</v>
      </c>
      <c r="C25" s="3">
        <v>15180714000287</v>
      </c>
    </row>
    <row r="26" spans="1:3" x14ac:dyDescent="0.25">
      <c r="A26" s="41" t="s">
        <v>79</v>
      </c>
      <c r="B26" s="4" t="s">
        <v>80</v>
      </c>
      <c r="C26" s="3">
        <v>15180714000287</v>
      </c>
    </row>
    <row r="27" spans="1:3" x14ac:dyDescent="0.25">
      <c r="A27" s="39" t="s">
        <v>81</v>
      </c>
      <c r="B27" s="4" t="s">
        <v>82</v>
      </c>
      <c r="C27" s="3">
        <v>15180714000287</v>
      </c>
    </row>
    <row r="28" spans="1:3" x14ac:dyDescent="0.25">
      <c r="A28" s="41" t="s">
        <v>83</v>
      </c>
      <c r="B28" s="4" t="s">
        <v>84</v>
      </c>
      <c r="C28" s="3">
        <v>15180714000287</v>
      </c>
    </row>
    <row r="29" spans="1:3" x14ac:dyDescent="0.25">
      <c r="A29" s="39" t="s">
        <v>85</v>
      </c>
      <c r="B29" s="4" t="s">
        <v>86</v>
      </c>
      <c r="C29" s="3">
        <v>15180714000287</v>
      </c>
    </row>
    <row r="30" spans="1:3" x14ac:dyDescent="0.25">
      <c r="A30" s="41" t="s">
        <v>87</v>
      </c>
      <c r="B30" s="4" t="s">
        <v>88</v>
      </c>
      <c r="C30" s="3">
        <v>15180714000287</v>
      </c>
    </row>
    <row r="31" spans="1:3" x14ac:dyDescent="0.25">
      <c r="A31" s="39" t="s">
        <v>89</v>
      </c>
      <c r="B31" s="4" t="s">
        <v>90</v>
      </c>
      <c r="C31" s="3">
        <v>15180714000287</v>
      </c>
    </row>
    <row r="32" spans="1:3" x14ac:dyDescent="0.25">
      <c r="A32" s="41" t="s">
        <v>91</v>
      </c>
      <c r="B32" s="4">
        <v>222784026</v>
      </c>
      <c r="C32" s="3">
        <v>15180714000287</v>
      </c>
    </row>
    <row r="33" spans="1:3" x14ac:dyDescent="0.25">
      <c r="A33" s="39" t="s">
        <v>92</v>
      </c>
      <c r="B33" s="4" t="s">
        <v>93</v>
      </c>
      <c r="C33" s="3">
        <v>15180714000287</v>
      </c>
    </row>
    <row r="34" spans="1:3" x14ac:dyDescent="0.25">
      <c r="A34" s="41" t="s">
        <v>94</v>
      </c>
      <c r="B34" s="4" t="s">
        <v>95</v>
      </c>
      <c r="C34" s="3">
        <v>15180714000287</v>
      </c>
    </row>
    <row r="35" spans="1:3" x14ac:dyDescent="0.25">
      <c r="A35" s="39" t="s">
        <v>96</v>
      </c>
      <c r="B35" s="4" t="s">
        <v>97</v>
      </c>
      <c r="C35" s="3">
        <v>15180714000287</v>
      </c>
    </row>
    <row r="36" spans="1:3" x14ac:dyDescent="0.25">
      <c r="A36" s="41" t="s">
        <v>98</v>
      </c>
      <c r="B36" s="4">
        <v>7017585457</v>
      </c>
      <c r="C36" s="3">
        <v>15180714000287</v>
      </c>
    </row>
    <row r="37" spans="1:3" x14ac:dyDescent="0.25">
      <c r="A37" s="39" t="s">
        <v>99</v>
      </c>
      <c r="B37" s="4">
        <v>7015216047</v>
      </c>
      <c r="C37" s="3">
        <v>15180714000287</v>
      </c>
    </row>
    <row r="38" spans="1:3" x14ac:dyDescent="0.25">
      <c r="A38" s="41" t="s">
        <v>100</v>
      </c>
      <c r="B38" s="4">
        <v>7024476183</v>
      </c>
      <c r="C38" s="3">
        <v>15180714000287</v>
      </c>
    </row>
    <row r="39" spans="1:3" x14ac:dyDescent="0.25">
      <c r="A39" s="5" t="s">
        <v>1</v>
      </c>
      <c r="B39" s="4">
        <v>8797900</v>
      </c>
      <c r="C39" s="3">
        <v>15180714000287</v>
      </c>
    </row>
    <row r="40" spans="1:3" x14ac:dyDescent="0.25">
      <c r="A40" s="6"/>
      <c r="B40" s="3"/>
      <c r="C40" s="3"/>
    </row>
    <row r="41" spans="1:3" x14ac:dyDescent="0.25">
      <c r="A41" s="5"/>
      <c r="B41" s="4"/>
      <c r="C41" s="3"/>
    </row>
    <row r="42" spans="1:3" x14ac:dyDescent="0.25">
      <c r="A42" s="6"/>
      <c r="B42" s="8"/>
      <c r="C42" s="3"/>
    </row>
    <row r="43" spans="1:3" x14ac:dyDescent="0.25">
      <c r="A43" s="5"/>
      <c r="B43" s="4"/>
      <c r="C43" s="3"/>
    </row>
    <row r="44" spans="1:3" x14ac:dyDescent="0.25">
      <c r="A44" s="6"/>
      <c r="B44" s="3"/>
      <c r="C44" s="3"/>
    </row>
    <row r="45" spans="1:3" x14ac:dyDescent="0.25">
      <c r="A45" s="5"/>
      <c r="B45" s="7"/>
      <c r="C45" s="3"/>
    </row>
    <row r="46" spans="1:3" x14ac:dyDescent="0.25">
      <c r="A46" s="6"/>
      <c r="B46" s="3"/>
      <c r="C46" s="3"/>
    </row>
    <row r="47" spans="1:3" x14ac:dyDescent="0.25">
      <c r="A47" s="5"/>
      <c r="B47" s="4"/>
      <c r="C47" s="3"/>
    </row>
    <row r="48" spans="1:3" x14ac:dyDescent="0.25">
      <c r="A48" s="6"/>
      <c r="B48" s="3"/>
      <c r="C48" s="3"/>
    </row>
    <row r="49" spans="1:3" x14ac:dyDescent="0.25">
      <c r="A49" s="5"/>
      <c r="B49" s="4"/>
      <c r="C49" s="3"/>
    </row>
    <row r="50" spans="1:3" x14ac:dyDescent="0.25">
      <c r="A50" s="6"/>
      <c r="B50" s="3"/>
      <c r="C50" s="3"/>
    </row>
    <row r="51" spans="1:3" x14ac:dyDescent="0.25">
      <c r="A51" s="5"/>
      <c r="B51" s="4"/>
      <c r="C51" s="3"/>
    </row>
    <row r="52" spans="1:3" x14ac:dyDescent="0.25">
      <c r="A52" s="6"/>
      <c r="B52" s="3"/>
      <c r="C52" s="3"/>
    </row>
    <row r="53" spans="1:3" x14ac:dyDescent="0.25">
      <c r="A53" s="5"/>
      <c r="B53" s="4"/>
      <c r="C53" s="3"/>
    </row>
    <row r="54" spans="1:3" x14ac:dyDescent="0.25">
      <c r="A54" s="6"/>
      <c r="B54" s="3"/>
      <c r="C54" s="3"/>
    </row>
    <row r="55" spans="1:3" x14ac:dyDescent="0.25">
      <c r="A55" s="5"/>
      <c r="B55" s="4"/>
      <c r="C55" s="3"/>
    </row>
  </sheetData>
  <autoFilter ref="A2:C39"/>
  <hyperlinks>
    <hyperlink ref="A1" r:id="rId1"/>
  </hyperlinks>
  <pageMargins left="0.511811024" right="0.511811024" top="0.78740157499999996" bottom="0.78740157499999996" header="0.31496062000000002" footer="0.31496062000000002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INPUT</vt:lpstr>
      <vt:lpstr>OUTPUT</vt:lpstr>
      <vt:lpstr>CONTA CONTRATO e NOME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2016-02-23T17:39:34Z</dcterms:modified>
</cp:coreProperties>
</file>